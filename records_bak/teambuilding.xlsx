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团建结账" sheetId="1" r:id="rId3"/>
    <sheet name="团建记录表" sheetId="2" r:id="rId4"/>
    <sheet name="团建天梯榜" sheetId="3" r:id="rId5"/>
  </sheets>
  <calcPr/>
</workbook>
</file>

<file path=xl/sharedStrings.xml><?xml version="1.0" encoding="utf-8"?>
<sst xmlns="http://schemas.openxmlformats.org/spreadsheetml/2006/main" count="52" uniqueCount="52">
  <si>
    <t/>
  </si>
  <si>
    <t>时间</t>
  </si>
  <si>
    <t>税率</t>
  </si>
  <si>
    <t>姓名</t>
  </si>
  <si>
    <t>金额</t>
  </si>
  <si>
    <t>结算方式</t>
  </si>
  <si>
    <t>计算值</t>
  </si>
  <si>
    <t>税后</t>
  </si>
  <si>
    <t>占位</t>
  </si>
  <si>
    <t>水平</t>
  </si>
  <si>
    <t>Peter</t>
  </si>
  <si>
    <t>水下</t>
  </si>
  <si>
    <t>mimi</t>
  </si>
  <si>
    <t>水上</t>
  </si>
  <si>
    <t>Onion</t>
  </si>
  <si>
    <t>topOne</t>
  </si>
  <si>
    <t>West</t>
  </si>
  <si>
    <t>BigBrave</t>
  </si>
  <si>
    <t>RealStrong</t>
  </si>
  <si>
    <t>Citizen</t>
  </si>
  <si>
    <t>zifan</t>
  </si>
  <si>
    <t>Panda</t>
  </si>
  <si>
    <t>East</t>
  </si>
  <si>
    <t>Jerry</t>
  </si>
  <si>
    <t>Albert</t>
  </si>
  <si>
    <t>BigTree</t>
  </si>
  <si>
    <t>Shawn</t>
  </si>
  <si>
    <t>BattleMan</t>
  </si>
  <si>
    <t>Jianyu</t>
  </si>
  <si>
    <t>宏健</t>
  </si>
  <si>
    <t>阳齐</t>
  </si>
  <si>
    <t>Dean</t>
  </si>
  <si>
    <t>项目</t>
  </si>
  <si>
    <t>费用</t>
  </si>
  <si>
    <t>未参与</t>
  </si>
  <si>
    <t>饮料零食</t>
  </si>
  <si>
    <t>房费</t>
  </si>
  <si>
    <t>槟郎</t>
  </si>
  <si>
    <t>其他（补齐）</t>
  </si>
  <si>
    <t>合计</t>
  </si>
  <si>
    <t>panda</t>
  </si>
  <si>
    <t>正负校验（负多正缺）</t>
  </si>
  <si>
    <t>餐费（房费+零食+饮料）</t>
  </si>
  <si>
    <t>税率（餐费/水上）</t>
  </si>
  <si>
    <t>戴伟</t>
  </si>
  <si>
    <t>Last Ranking</t>
  </si>
  <si>
    <t>Current Ranking</t>
  </si>
  <si>
    <t>Player</t>
  </si>
  <si>
    <t>Winning Rate</t>
  </si>
  <si>
    <t>累计</t>
  </si>
  <si>
    <t>参与次数</t>
  </si>
  <si>
    <t>Water Line</t>
  </si>
</sst>
</file>

<file path=xl/styles.xml><?xml version="1.0" encoding="utf-8"?>
<styleSheet xmlns="http://schemas.openxmlformats.org/spreadsheetml/2006/main">
  <numFmts count="2">
    <numFmt numFmtId="300" formatCode="yyyy&quot;年&quot;m&quot;月&quot;d&quot;日&quot;;@"/>
    <numFmt numFmtId="301" formatCode="m&quot;月&quot;d&quot;日&quot;;@"/>
  </numFmts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FFFF"/>
    </font>
    <font>
      <sz val="9"/>
    </font>
    <font>
      <color rgb="FF000000"/>
    </font>
    <font/>
    <font>
      <sz val="9"/>
    </font>
    <font/>
  </fonts>
  <fills count="14">
    <fill>
      <patternFill patternType="none"/>
    </fill>
    <fill>
      <patternFill patternType="gray125"/>
    </fill>
    <fill>
      <patternFill patternType="solid">
        <fgColor rgb="FF2972F4"/>
      </patternFill>
    </fill>
    <fill>
      <patternFill patternType="solid">
        <fgColor rgb="FF2972F4"/>
      </patternFill>
    </fill>
    <fill>
      <patternFill patternType="solid">
        <fgColor rgb="FF8CDDFA"/>
      </patternFill>
    </fill>
    <fill/>
    <fill/>
    <fill/>
    <fill>
      <patternFill patternType="solid">
        <fgColor rgb="FF2972F4"/>
        <bgColor auto="true"/>
      </patternFill>
    </fill>
    <fill>
      <patternFill patternType="solid">
        <fgColor rgb="FFFFC000"/>
        <bgColor auto="true"/>
      </patternFill>
    </fill>
    <fill>
      <patternFill patternType="solid">
        <fgColor rgb="FF98D7B6"/>
        <bgColor auto="true"/>
      </patternFill>
    </fill>
    <fill>
      <patternFill patternType="solid">
        <fgColor rgb="FFFF9C99"/>
        <bgColor auto="true"/>
      </patternFill>
    </fill>
    <fill>
      <patternFill patternType="solid">
        <fgColor rgb="FFFF0000"/>
      </patternFill>
    </fill>
    <fill>
      <patternFill patternType="solid">
        <fgColor rgb="FFFF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</borders>
  <cellStyleXfs>
    <xf numFmtId="0" fontId="0" fillId="0" borderId="0" xfId="0">
      <alignment vertical="center"/>
    </xf>
  </cellStyleXfs>
  <cellXfs count="9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3" borderId="1" xfId="0">
      <alignment horizontal="center" vertical="center"/>
    </xf>
    <xf numFmtId="300" fontId="0" fillId="4" borderId="1" xfId="0">
      <alignment horizontal="center" vertical="center"/>
    </xf>
    <xf numFmtId="10" fontId="0" fillId="4" borderId="1" xfId="0">
      <alignment horizontal="center" vertical="center"/>
    </xf>
    <xf fontId="0" fillId="4" borderId="1" xfId="0">
      <alignment horizontal="center" vertical="center"/>
    </xf>
    <xf fontId="4" fillId="4" borderId="1" xfId="0">
      <alignment horizontal="center" vertical="center" wrapText="false"/>
    </xf>
    <xf numFmtId="1" fontId="0" fillId="4" borderId="1" xfId="0">
      <alignment horizontal="center" vertical="center"/>
    </xf>
    <xf numFmtId="300" fontId="0" fillId="0" borderId="1" xfId="0">
      <alignment horizontal="center" vertical="center"/>
    </xf>
    <xf numFmtId="10" fontId="0" fillId="0" borderId="1" xfId="0">
      <alignment horizontal="center" vertical="center"/>
    </xf>
    <xf fontId="0" fillId="0" borderId="1" xfId="0">
      <alignment horizontal="center" vertical="center" textRotation="0" indent="0" justifyLastLine="false" shrinkToFit="false"/>
    </xf>
    <xf fontId="4" fillId="0" borderId="1" xfId="0">
      <alignment horizontal="center" vertical="center" textRotation="0" indent="0" justifyLastLine="false" shrinkToFit="false"/>
    </xf>
    <xf fontId="0" fillId="0" borderId="1" xfId="0">
      <alignment horizontal="center" vertical="center"/>
    </xf>
    <xf numFmtId="1" fontId="0" fillId="0" borderId="1" xfId="0">
      <alignment horizontal="center" vertical="center"/>
    </xf>
    <xf numFmtId="0" fontId="0" fillId="0" borderId="1" xfId="0">
      <alignment horizontal="center" vertical="center"/>
    </xf>
    <xf fontId="4" fillId="0" borderId="1" xfId="0">
      <alignment horizontal="center" vertical="center" wrapText="false"/>
    </xf>
    <xf numFmtId="0" fontId="5" fillId="0" borderId="1" xfId="0">
      <alignment horizontal="center" vertical="center"/>
    </xf>
    <xf fontId="0" fillId="5" borderId="2" xfId="0">
      <alignment horizontal="center" vertical="center"/>
    </xf>
    <xf numFmtId="0" fontId="5" fillId="5" borderId="3" xfId="0">
      <alignment horizontal="center" vertical="center"/>
    </xf>
    <xf numFmtId="0" fontId="0" fillId="5" borderId="1" xfId="0">
      <alignment horizontal="center" vertical="center"/>
    </xf>
    <xf fontId="6" fillId="6" borderId="4" xfId="0">
      <alignment horizontal="center" vertical="center"/>
    </xf>
    <xf numFmtId="300" fontId="0" fillId="0" borderId="5" xfId="0">
      <alignment horizontal="center" vertical="center"/>
    </xf>
    <xf numFmtId="10" fontId="0" fillId="0" borderId="5" xfId="0">
      <alignment horizontal="center" vertical="center"/>
    </xf>
    <xf fontId="0" fillId="7" borderId="1" xfId="0">
      <alignment horizontal="center" vertical="center"/>
    </xf>
    <xf fontId="4" fillId="7" borderId="1" xfId="0">
      <alignment horizontal="center" vertical="center" wrapText="false"/>
    </xf>
    <xf numFmtId="0" fontId="0" fillId="7" borderId="1" xfId="0">
      <alignment horizontal="center" vertical="center"/>
    </xf>
    <xf fontId="0" fillId="5" borderId="1" xfId="0">
      <alignment horizontal="center" vertical="center"/>
    </xf>
    <xf fontId="7" fillId="0" borderId="1" xfId="0">
      <alignment horizontal="center" vertical="center" wrapText="false"/>
    </xf>
    <xf fontId="0" fillId="0" borderId="0" xfId="0">
      <alignment vertical="center"/>
    </xf>
    <xf fontId="3" fillId="8" borderId="1" xfId="0">
      <alignment horizontal="center" vertical="center" textRotation="0" indent="0" justifyLastLine="false" shrinkToFit="false"/>
    </xf>
    <xf fontId="3" fillId="8" borderId="5" xfId="0">
      <alignment horizontal="center" vertical="center" textRotation="0" indent="0" justifyLastLine="false" shrinkToFit="false"/>
    </xf>
    <xf numFmtId="1" fontId="0" fillId="0" borderId="1" xfId="0">
      <alignment horizontal="center" vertical="center" textRotation="0" indent="0" justifyLastLine="false" shrinkToFit="false"/>
    </xf>
    <xf fontId="0" fillId="0" borderId="5" xfId="0">
      <alignment horizontal="center" vertical="center" textRotation="0" indent="0" justifyLastLine="false" shrinkToFit="false"/>
    </xf>
    <xf fontId="8" fillId="5" borderId="1" xfId="0">
      <alignment horizontal="center" vertical="center" textRotation="0" indent="0" justifyLastLine="false" shrinkToFit="false"/>
    </xf>
    <xf fontId="0" fillId="9" borderId="1" xfId="0">
      <alignment horizontal="center" vertical="center" textRotation="0" indent="0" justifyLastLine="false" shrinkToFit="false"/>
    </xf>
    <xf fontId="0" fillId="0" borderId="1" xfId="0">
      <alignment vertical="center"/>
    </xf>
    <xf fontId="0" fillId="10" borderId="1" xfId="0">
      <alignment horizontal="center" vertical="center" textRotation="0" indent="0" justifyLastLine="false" shrinkToFit="false"/>
    </xf>
    <xf fontId="0" fillId="11" borderId="1" xfId="0">
      <alignment horizontal="center" vertical="center" textRotation="0" indent="0" justifyLastLine="false" shrinkToFit="false"/>
    </xf>
    <xf fontId="0" fillId="0" borderId="1" xfId="0">
      <alignment vertical="center"/>
    </xf>
    <xf numFmtId="10" fontId="0" fillId="0" borderId="1" xfId="0">
      <alignment horizontal="center" vertical="center" textRotation="0" indent="0" justifyLastLine="false" shrinkToFit="false"/>
    </xf>
    <xf fontId="8" fillId="5" borderId="6" xfId="0">
      <alignment vertical="center"/>
    </xf>
    <xf fontId="0" fillId="0" borderId="6" xfId="0">
      <alignment vertical="center"/>
    </xf>
    <xf numFmtId="301" fontId="3" fillId="8" borderId="1" xfId="0">
      <alignment horizontal="center" vertical="center" textRotation="0" indent="0" justifyLastLine="false" shrinkToFit="false"/>
    </xf>
    <xf fontId="8" fillId="5" borderId="1" xfId="0">
      <alignment/>
    </xf>
    <xf fontId="8" fillId="5" borderId="7" xfId="0">
      <alignment vertical="center"/>
    </xf>
    <xf fontId="3" fillId="8" borderId="8" xfId="0">
      <alignment horizontal="center" vertical="center" textRotation="0" indent="0" justifyLastLine="false" shrinkToFit="false"/>
    </xf>
    <xf fontId="3" fillId="8" borderId="9" xfId="0">
      <alignment horizontal="center" vertical="center" textRotation="0" indent="0" justifyLastLine="false" shrinkToFit="false"/>
    </xf>
    <xf numFmtId="1" fontId="0" fillId="4" borderId="1" xfId="0">
      <alignment horizontal="center" vertical="center" textRotation="0" indent="0" justifyLastLine="false" shrinkToFit="false"/>
    </xf>
    <xf fontId="0" fillId="0" borderId="9" xfId="0">
      <alignment horizontal="center" vertical="center" textRotation="0" indent="0" justifyLastLine="false" shrinkToFit="false"/>
    </xf>
    <xf fontId="0" fillId="5" borderId="1" xfId="0">
      <alignment horizontal="center" vertical="center" textRotation="0" indent="0" justifyLastLine="false" shrinkToFit="false"/>
    </xf>
    <xf numFmtId="1" fontId="0" fillId="5" borderId="1" xfId="0">
      <alignment horizontal="center" vertical="center" textRotation="0" indent="0" justifyLastLine="false" shrinkToFit="false"/>
    </xf>
    <xf fontId="8" fillId="9" borderId="1" xfId="0">
      <alignment horizontal="center" vertical="center" textRotation="0" indent="0" justifyLastLine="false" shrinkToFit="false"/>
    </xf>
    <xf fontId="0" fillId="0" borderId="1" xfId="0">
      <alignment/>
    </xf>
    <xf fontId="8" fillId="0" borderId="1" xfId="0">
      <alignment/>
    </xf>
    <xf numFmtId="0" fontId="3" fillId="2" borderId="1" xfId="0">
      <alignment horizontal="center" vertical="center"/>
    </xf>
    <xf numFmtId="0" fontId="3" fillId="2" borderId="10" xfId="0">
      <alignment horizontal="center" vertical="center"/>
    </xf>
    <xf numFmtId="0" fontId="3" fillId="3" borderId="10" xfId="0">
      <alignment horizontal="center" vertical="center"/>
    </xf>
    <xf numFmtId="0" fontId="3" fillId="2" borderId="5" xfId="0">
      <alignment horizontal="center" vertical="center"/>
    </xf>
    <xf numFmtId="0" fontId="3" fillId="2" borderId="9" xfId="0">
      <alignment horizontal="center" vertical="center"/>
    </xf>
    <xf numFmtId="0" fontId="0" fillId="5" borderId="10" xfId="0">
      <alignment horizontal="center" vertical="center"/>
    </xf>
    <xf numFmtId="10" fontId="0" fillId="5" borderId="11" xfId="0">
      <alignment horizontal="center" vertical="center"/>
    </xf>
    <xf numFmtId="1" fontId="0" fillId="0" borderId="12" xfId="0">
      <alignment horizontal="center" vertical="center"/>
    </xf>
    <xf fontId="0" fillId="5" borderId="13" xfId="0">
      <alignment horizontal="center" vertical="center"/>
    </xf>
    <xf numFmtId="10" fontId="0" fillId="5" borderId="1" xfId="0">
      <alignment horizontal="center" vertical="center"/>
    </xf>
    <xf numFmtId="0" fontId="0" fillId="5" borderId="14" xfId="0">
      <alignment horizontal="center" vertical="center"/>
    </xf>
    <xf numFmtId="10" fontId="0" fillId="5" borderId="15" xfId="0">
      <alignment horizontal="center" vertical="center"/>
    </xf>
    <xf numFmtId="0" fontId="0" fillId="5" borderId="13" xfId="0">
      <alignment horizontal="center" vertical="center"/>
    </xf>
    <xf numFmtId="10" fontId="0" fillId="5" borderId="16" xfId="0">
      <alignment horizontal="center" vertical="center"/>
    </xf>
    <xf numFmtId="1" fontId="8" fillId="5" borderId="12" xfId="0">
      <alignment horizontal="center" vertical="center"/>
    </xf>
    <xf fontId="3" fillId="12" borderId="10" xfId="0">
      <alignment horizontal="center" vertical="center"/>
    </xf>
    <xf fontId="3" fillId="13" borderId="11" xfId="0">
      <alignment horizontal="center" vertical="center"/>
    </xf>
    <xf numFmtId="0" fontId="5" fillId="5" borderId="13" xfId="0">
      <alignment horizontal="center" vertical="center"/>
    </xf>
    <xf numFmtId="10" fontId="5" fillId="5" borderId="16" xfId="0">
      <alignment horizontal="center" vertical="center"/>
    </xf>
    <xf numFmtId="0" fontId="0" fillId="0" borderId="13" xfId="0">
      <alignment horizontal="center" vertical="center"/>
    </xf>
    <xf numFmtId="10" fontId="5" fillId="0" borderId="16" xfId="0">
      <alignment horizontal="center" vertical="center"/>
    </xf>
    <xf fontId="0" fillId="0" borderId="13" xfId="0">
      <alignment horizontal="center" vertical="center"/>
    </xf>
    <xf fontId="8" fillId="0" borderId="1" xfId="0">
      <alignment horizontal="center" vertical="center"/>
    </xf>
    <xf numFmtId="0" fontId="8" fillId="5" borderId="13" xfId="0">
      <alignment horizontal="center" vertical="center"/>
    </xf>
    <xf numFmtId="10" fontId="8" fillId="5" borderId="16" xfId="0">
      <alignment horizontal="center" vertical="center"/>
    </xf>
    <xf numFmtId="10" fontId="5" fillId="5" borderId="11" xfId="0">
      <alignment horizontal="center" vertical="center"/>
    </xf>
    <xf numFmtId="1" fontId="0" fillId="0" borderId="17" xfId="0">
      <alignment horizontal="center" vertical="center"/>
    </xf>
    <xf fontId="0" fillId="0" borderId="5" xfId="0">
      <alignment horizontal="center" vertical="center"/>
    </xf>
    <xf fontId="0" fillId="5" borderId="5" xfId="0">
      <alignment horizontal="center" vertical="center"/>
    </xf>
    <xf numFmtId="0" fontId="8" fillId="5" borderId="16" xfId="0">
      <alignment horizontal="center" vertical="center"/>
    </xf>
    <xf numFmtId="10" fontId="8" fillId="5" borderId="1" xfId="0">
      <alignment horizontal="center" vertical="center"/>
    </xf>
    <xf fontId="8" fillId="5" borderId="1" xfId="0">
      <alignment horizontal="center" vertical="center"/>
    </xf>
    <xf numFmtId="0" fontId="5" fillId="5" borderId="12" xfId="0">
      <alignment horizontal="center" vertical="center"/>
    </xf>
    <xf numFmtId="10" fontId="5" fillId="5" borderId="1" xfId="0">
      <alignment horizontal="center" vertical="center"/>
    </xf>
    <xf numFmtId="0" fontId="5" fillId="5" borderId="1" xfId="0">
      <alignment horizontal="center" vertical="center"/>
    </xf>
    <xf fontId="0" fillId="0" borderId="6" xfId="0">
      <alignment horizontal="center"/>
    </xf>
    <xf fontId="0" fillId="0" borderId="6" xfId="0">
      <alignment/>
    </xf>
    <xf fontId="8" fillId="0" borderId="6" xfId="0">
      <alignment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团建结账">
    <tabColor/>
  </sheetPr>
  <dimension ref="J45"/>
  <sheetViews>
    <sheetView showGridLines="true" workbookViewId="0"/>
  </sheetViews>
  <sheetFormatPr baseColWidth="13" defaultRowHeight="18" customHeight="true"/>
  <sheetData>
    <row r="1" spans="1:10">
      <c r="A1" s="31" t="s"/>
      <c r="B1" s="31" t="s"/>
      <c r="C1" s="31" t="s"/>
      <c r="D1" s="31" t="s"/>
      <c r="E1" s="31" t="s"/>
      <c r="F1" s="31" t="s"/>
      <c r="G1" s="31" t="s"/>
      <c r="H1" s="31" t="s"/>
      <c r="I1" s="31" t="s"/>
      <c r="J1" s="31" t="s"/>
    </row>
    <row r="2" spans="1:10">
      <c r="A2" s="31" t="s"/>
      <c r="B2" s="32" t="s">
        <v>3</v>
      </c>
      <c r="C2" s="32" t="s">
        <v>4</v>
      </c>
      <c r="D2" s="32" t="s">
        <v>5</v>
      </c>
      <c r="E2" s="32" t="s">
        <v>6</v>
      </c>
      <c r="F2" s="32" t="s">
        <v>7</v>
      </c>
      <c r="G2" s="31" t="s"/>
      <c r="H2" s="31" t="s"/>
      <c r="I2" s="33" t="s">
        <v>32</v>
      </c>
      <c r="J2" s="33" t="s">
        <v>33</v>
      </c>
    </row>
    <row r="3" spans="1:10">
      <c r="A3" s="31" t="s"/>
      <c r="B3" s="13" t="s">
        <v>22</v>
      </c>
      <c r="C3" s="15">
        <v>0</v>
      </c>
      <c r="D3" s="14" t="s">
        <v>34</v>
      </c>
      <c r="E3" s="13">
        <f>=IF(D3="水上",C3,C3*-1)</f>
        <v>0</v>
      </c>
      <c r="F3" s="34">
        <f>=IF(E3&gt;0,E3*(1-E19),E3)</f>
        <v>0</v>
      </c>
      <c r="G3" s="31" t="s"/>
      <c r="H3" s="31" t="s"/>
      <c r="I3" s="13" t="s">
        <v>35</v>
      </c>
      <c r="J3" s="15">
        <v>0</v>
      </c>
    </row>
    <row r="4" spans="1:10">
      <c r="A4" s="31" t="s"/>
      <c r="B4" s="13" t="s">
        <v>10</v>
      </c>
      <c r="C4" s="15">
        <v>0</v>
      </c>
      <c r="D4" s="14" t="s">
        <v>34</v>
      </c>
      <c r="E4" s="13">
        <f>=IF(D4="水上",C4,C4*-1)</f>
        <v>0</v>
      </c>
      <c r="F4" s="34">
        <f>=IF(E4&gt;0,E4*(1-E19),E4)</f>
        <v>0</v>
      </c>
      <c r="G4" s="31" t="s"/>
      <c r="H4" s="31" t="s"/>
      <c r="I4" s="13" t="s">
        <v>36</v>
      </c>
      <c r="J4" s="15">
        <v>0</v>
      </c>
    </row>
    <row r="5" spans="1:10">
      <c r="A5" s="31" t="s"/>
      <c r="B5" s="13" t="s">
        <v>12</v>
      </c>
      <c r="C5" s="15">
        <v>0</v>
      </c>
      <c r="D5" s="14" t="s">
        <v>34</v>
      </c>
      <c r="E5" s="13">
        <f>=IF(D5="水上",C5,C5*-1)</f>
        <v>0</v>
      </c>
      <c r="F5" s="34">
        <f>=IF(E5&gt;0,E5*(1-E19),E5)</f>
        <v>0</v>
      </c>
      <c r="G5" s="31" t="s"/>
      <c r="H5" s="31" t="s"/>
      <c r="I5" s="35" t="s">
        <v>37</v>
      </c>
      <c r="J5" s="15">
        <v>0</v>
      </c>
    </row>
    <row r="6" spans="1:10">
      <c r="A6" s="31" t="s"/>
      <c r="B6" s="13" t="s">
        <v>25</v>
      </c>
      <c r="C6" s="15">
        <v>0</v>
      </c>
      <c r="D6" s="14" t="s">
        <v>34</v>
      </c>
      <c r="E6" s="13">
        <f>=IF(D6="水上",C6,C6*-1)</f>
        <v>0</v>
      </c>
      <c r="F6" s="34">
        <f>=IF(E6&gt;0,E6*(1-E19),E6)</f>
        <v>0</v>
      </c>
      <c r="G6" s="31" t="s"/>
      <c r="H6" s="31" t="s"/>
      <c r="I6" s="35" t="s">
        <v>38</v>
      </c>
      <c r="J6" s="15">
        <v>0</v>
      </c>
    </row>
    <row r="7" spans="1:10">
      <c r="A7" s="31" t="s"/>
      <c r="B7" s="13" t="s">
        <v>14</v>
      </c>
      <c r="C7" s="15">
        <v>0</v>
      </c>
      <c r="D7" s="14" t="s">
        <v>34</v>
      </c>
      <c r="E7" s="13">
        <f>=IF(D7="水上",C7,C7*-1)</f>
        <v>0</v>
      </c>
      <c r="F7" s="34">
        <f>=IF(E7&gt;0,E7*(1-E19),E7)</f>
        <v>0</v>
      </c>
      <c r="G7" s="31" t="s"/>
      <c r="H7" s="31" t="s"/>
      <c r="I7" s="13" t="s">
        <v>39</v>
      </c>
      <c r="J7" s="13">
        <f>=SUM(J3:J6)</f>
        <v>0</v>
      </c>
    </row>
    <row r="8" spans="1:10">
      <c r="A8" s="31" t="s"/>
      <c r="B8" s="13" t="s">
        <v>15</v>
      </c>
      <c r="C8" s="15">
        <v>0</v>
      </c>
      <c r="D8" s="14" t="s">
        <v>34</v>
      </c>
      <c r="E8" s="13">
        <f>=IF(D8="水上",C8,C8*-1)</f>
        <v>0</v>
      </c>
      <c r="F8" s="34">
        <f>=IF(E8&gt;0,E8*(1-E19),E8)</f>
        <v>0</v>
      </c>
      <c r="G8" s="31" t="s"/>
      <c r="H8" s="31" t="s"/>
      <c r="I8" s="31" t="s"/>
      <c r="J8" s="31" t="s"/>
    </row>
    <row r="9" spans="1:10">
      <c r="A9" s="31" t="s"/>
      <c r="B9" s="13" t="s">
        <v>16</v>
      </c>
      <c r="C9" s="15">
        <v>0</v>
      </c>
      <c r="D9" s="14" t="s">
        <v>34</v>
      </c>
      <c r="E9" s="13">
        <f>=IF(D9="水上",C9,C9*-1)</f>
        <v>0</v>
      </c>
      <c r="F9" s="34">
        <f>=IF(E9&gt;0,E9*(1-E19),E9)</f>
        <v>0</v>
      </c>
      <c r="G9" s="31" t="s"/>
      <c r="H9" s="31" t="s"/>
      <c r="I9" s="31" t="s"/>
      <c r="J9" s="31" t="s"/>
    </row>
    <row r="10" spans="1:10">
      <c r="A10" s="31" t="s"/>
      <c r="B10" s="13" t="s">
        <v>17</v>
      </c>
      <c r="C10" s="15">
        <v>0</v>
      </c>
      <c r="D10" s="14" t="s">
        <v>34</v>
      </c>
      <c r="E10" s="13">
        <f>=IF(D10="水上",C10,C10*-1)</f>
        <v>0</v>
      </c>
      <c r="F10" s="34">
        <f>=IF(E10&gt;0,E10*(1-E19),E10)</f>
        <v>0</v>
      </c>
      <c r="G10" s="31" t="s"/>
      <c r="H10" s="31" t="s"/>
      <c r="I10" s="31" t="s"/>
      <c r="J10" s="31" t="s"/>
    </row>
    <row r="11" spans="1:10">
      <c r="A11" s="31" t="s"/>
      <c r="B11" s="13" t="s">
        <v>18</v>
      </c>
      <c r="C11" s="15">
        <v>0</v>
      </c>
      <c r="D11" s="14" t="s">
        <v>34</v>
      </c>
      <c r="E11" s="13">
        <f>=IF(D11="水上",C11,C11*-1)</f>
        <v>0</v>
      </c>
      <c r="F11" s="34">
        <f>=IF(E11&gt;0,E11*(1-E19),E11)</f>
        <v>0</v>
      </c>
      <c r="G11" s="31" t="s"/>
      <c r="H11" s="31" t="s"/>
      <c r="I11" s="31" t="s"/>
      <c r="J11" s="31" t="s"/>
    </row>
    <row r="12" spans="1:10">
      <c r="A12" s="31" t="s"/>
      <c r="B12" s="13" t="s">
        <v>19</v>
      </c>
      <c r="C12" s="15">
        <v>0</v>
      </c>
      <c r="D12" s="14" t="s">
        <v>34</v>
      </c>
      <c r="E12" s="13">
        <f>=IF(D12="水上",C12,C12*-1)</f>
        <v>0</v>
      </c>
      <c r="F12" s="34">
        <f>=IF(E12&gt;0,E12*(1-E19),E12)</f>
        <v>0</v>
      </c>
      <c r="G12" s="31" t="s"/>
      <c r="H12" s="31" t="s"/>
      <c r="I12" s="31" t="s"/>
      <c r="J12" s="31" t="s"/>
    </row>
    <row r="13" spans="1:10">
      <c r="A13" s="31" t="s"/>
      <c r="B13" s="36" t="s">
        <v>27</v>
      </c>
      <c r="C13" s="15">
        <v>0</v>
      </c>
      <c r="D13" s="14" t="s">
        <v>34</v>
      </c>
      <c r="E13" s="13">
        <f>=IF(D13="水上",C13,C13*-1)</f>
        <v>0</v>
      </c>
      <c r="F13" s="34">
        <f>=IF(E13&gt;0,E13*(1-E19),E13)</f>
        <v>0</v>
      </c>
      <c r="G13" s="31" t="s"/>
      <c r="H13" s="31" t="s"/>
      <c r="I13" s="31" t="s"/>
      <c r="J13" s="31" t="s"/>
    </row>
    <row r="14" spans="1:10">
      <c r="A14" s="31" t="s"/>
      <c r="B14" s="13" t="s">
        <v>20</v>
      </c>
      <c r="C14" s="15">
        <v>0</v>
      </c>
      <c r="D14" s="14" t="s">
        <v>34</v>
      </c>
      <c r="E14" s="13">
        <f>=IF(D14="水上",C14,C14*-1)</f>
        <v>0</v>
      </c>
      <c r="F14" s="34">
        <f>=IF(E14&gt;0,E14*(1-E19),E14)</f>
        <v>0</v>
      </c>
      <c r="G14" s="31" t="s"/>
      <c r="H14" s="31" t="s"/>
      <c r="I14" s="31" t="s"/>
      <c r="J14" s="31" t="s"/>
    </row>
    <row r="15" spans="1:10">
      <c r="A15" s="31" t="s"/>
      <c r="B15" s="13" t="s">
        <v>40</v>
      </c>
      <c r="C15" s="15">
        <v>0</v>
      </c>
      <c r="D15" s="14" t="s">
        <v>34</v>
      </c>
      <c r="E15" s="13">
        <f>=IF(D15="水上",C15,C15*-1)</f>
        <v>0</v>
      </c>
      <c r="F15" s="34">
        <f>=IF(E15&gt;0,E15*(1-E19),E15)</f>
        <v>0</v>
      </c>
      <c r="G15" s="31" t="s"/>
      <c r="H15" s="31" t="s"/>
      <c r="I15" s="31" t="s"/>
      <c r="J15" s="31" t="s"/>
    </row>
    <row r="16" spans="1:10">
      <c r="A16" s="31" t="s"/>
      <c r="B16" s="37" t="s">
        <v>41</v>
      </c>
      <c r="C16" s="38" t="s"/>
      <c r="D16" s="38" t="s"/>
      <c r="E16" s="39">
        <f>=SUM(E3:E15)+E20</f>
        <v>0</v>
      </c>
      <c r="F16" s="40">
        <f>=SUM(F3:F15)+F20</f>
        <v>0</v>
      </c>
      <c r="G16" s="31" t="s"/>
      <c r="H16" s="31" t="s"/>
      <c r="I16" s="31" t="s"/>
      <c r="J16" s="31" t="s"/>
    </row>
    <row r="17" spans="1:10">
      <c r="A17" s="31" t="s"/>
      <c r="B17" s="32" t="s">
        <v>42</v>
      </c>
      <c r="C17" s="38" t="s"/>
      <c r="D17" s="38" t="s"/>
      <c r="E17" s="40">
        <f>=J7</f>
        <v>0</v>
      </c>
      <c r="F17" s="41" t="s"/>
      <c r="G17" s="31" t="s"/>
      <c r="H17" s="31" t="s"/>
      <c r="I17" s="31" t="s"/>
      <c r="J17" s="31" t="s"/>
    </row>
    <row r="18" spans="1:10">
      <c r="A18" s="31" t="s"/>
      <c r="B18" s="32" t="s">
        <v>13</v>
      </c>
      <c r="C18" s="38" t="s"/>
      <c r="D18" s="38" t="s"/>
      <c r="E18" s="13">
        <f>=SUMIF(E3:E15,"&gt;0")+E20</f>
        <v>0</v>
      </c>
      <c r="F18" s="41" t="s"/>
      <c r="G18" s="31" t="s"/>
      <c r="H18" s="31" t="s"/>
      <c r="I18" s="31" t="s"/>
      <c r="J18" s="31" t="s"/>
    </row>
    <row r="19" spans="1:10">
      <c r="A19" s="31" t="s"/>
      <c r="B19" s="32" t="s">
        <v>43</v>
      </c>
      <c r="C19" s="38" t="s"/>
      <c r="D19" s="38" t="s"/>
      <c r="E19" s="42">
        <f>=IF(E18&lt;&gt;0,E17/E18,0)</f>
        <v>0</v>
      </c>
      <c r="F19" s="41" t="s"/>
      <c r="G19" s="31" t="s"/>
      <c r="H19" s="31" t="s"/>
      <c r="I19" s="31" t="s"/>
      <c r="J19" s="31" t="s"/>
    </row>
    <row r="20" spans="1:10">
      <c r="A20" s="31" t="s"/>
      <c r="B20" s="13" t="s">
        <v>44</v>
      </c>
      <c r="C20" s="15">
        <v>0</v>
      </c>
      <c r="D20" s="14" t="s">
        <v>34</v>
      </c>
      <c r="E20" s="13">
        <f>=IF(D20="水上",C20,C20*-1)</f>
        <v>0</v>
      </c>
      <c r="F20" s="34">
        <f>=IF(E20&gt;0,E20*(1-E19),E20)</f>
        <v>0</v>
      </c>
      <c r="G20" s="31" t="s"/>
      <c r="H20" s="31" t="s"/>
      <c r="I20" s="31" t="s"/>
      <c r="J20" s="31" t="s"/>
    </row>
    <row r="21" spans="1:10">
      <c r="A21" s="31" t="s"/>
      <c r="B21" s="31" t="s"/>
      <c r="C21" s="31" t="s"/>
      <c r="D21" s="31" t="s"/>
      <c r="E21" s="31" t="s"/>
      <c r="F21" s="31" t="s"/>
      <c r="G21" s="31" t="s"/>
      <c r="H21" s="31" t="s"/>
      <c r="I21" s="31" t="s"/>
      <c r="J21" s="31" t="s"/>
    </row>
    <row r="22" spans="1:10">
      <c r="A22" s="31" t="s"/>
      <c r="B22" s="31" t="s"/>
      <c r="C22" s="31" t="s"/>
      <c r="D22" s="31" t="s"/>
      <c r="E22" s="31" t="s"/>
      <c r="F22" s="31" t="s"/>
      <c r="G22" s="31" t="s"/>
      <c r="H22" s="31" t="s"/>
      <c r="I22" s="31" t="s"/>
      <c r="J22" s="31" t="s"/>
    </row>
    <row r="23" spans="1:10">
      <c r="A23" s="31" t="s"/>
      <c r="B23" s="31" t="s"/>
      <c r="C23" s="31" t="s"/>
      <c r="D23" s="31" t="s"/>
      <c r="E23" s="31" t="s"/>
      <c r="F23" s="31" t="s"/>
      <c r="G23" s="31" t="s"/>
      <c r="H23" s="31" t="s"/>
      <c r="I23" s="31" t="s"/>
      <c r="J23" s="31" t="s"/>
    </row>
    <row r="24" spans="1:10">
      <c r="A24" s="31" t="s"/>
      <c r="B24" s="31" t="s"/>
      <c r="C24" s="31" t="s"/>
      <c r="D24" s="31" t="s"/>
      <c r="E24" s="31" t="s"/>
      <c r="F24" s="31" t="s"/>
      <c r="G24" s="31" t="s"/>
      <c r="H24" s="31" t="s"/>
      <c r="I24" s="31" t="s"/>
      <c r="J24" s="31" t="s"/>
    </row>
    <row r="25" spans="1:10">
      <c r="A25" s="31" t="s"/>
      <c r="B25" s="43" t="s"/>
      <c r="C25" s="44" t="s"/>
      <c r="D25" s="44" t="s"/>
      <c r="E25" s="44" t="s"/>
      <c r="F25" s="44" t="s"/>
      <c r="G25" s="31" t="s"/>
      <c r="H25" s="31" t="s"/>
      <c r="I25" s="31" t="s"/>
      <c r="J25" s="31" t="s"/>
    </row>
    <row r="26" spans="1:10">
      <c r="A26" s="31" t="s"/>
      <c r="B26" s="45">
        <v>45742</v>
      </c>
      <c r="C26" s="46" t="s"/>
      <c r="D26" s="46" t="s"/>
      <c r="E26" s="46" t="s"/>
      <c r="F26" s="46" t="s"/>
      <c r="G26" s="31" t="s"/>
      <c r="H26" s="31" t="s"/>
      <c r="I26" s="47" t="s"/>
      <c r="J26" s="47" t="s"/>
    </row>
    <row r="27" spans="1:10">
      <c r="A27" s="31" t="s"/>
      <c r="B27" s="48" t="s">
        <v>3</v>
      </c>
      <c r="C27" s="48" t="s">
        <v>4</v>
      </c>
      <c r="D27" s="48" t="s">
        <v>5</v>
      </c>
      <c r="E27" s="48" t="s">
        <v>6</v>
      </c>
      <c r="F27" s="48" t="s">
        <v>7</v>
      </c>
      <c r="G27" s="31" t="s"/>
      <c r="H27" s="31" t="s"/>
      <c r="I27" s="49" t="s">
        <v>32</v>
      </c>
      <c r="J27" s="49" t="s">
        <v>33</v>
      </c>
    </row>
    <row r="28" spans="1:10">
      <c r="A28" s="31" t="s"/>
      <c r="B28" s="13" t="s">
        <v>22</v>
      </c>
      <c r="C28" s="15">
        <v>0</v>
      </c>
      <c r="D28" s="14" t="s">
        <v>34</v>
      </c>
      <c r="E28" s="13">
        <f>=IF(D28="水上",C28,C28*-1)</f>
        <v>0</v>
      </c>
      <c r="F28" s="34">
        <f>=IF(E28&gt;0,E28*(1-E44),E28)</f>
        <v>0</v>
      </c>
      <c r="G28" s="31" t="s"/>
      <c r="H28" s="31" t="s"/>
      <c r="I28" s="13" t="s">
        <v>35</v>
      </c>
      <c r="J28" s="13">
        <v>136</v>
      </c>
    </row>
    <row r="29" spans="1:10">
      <c r="A29" s="31" t="s"/>
      <c r="B29" s="13" t="s">
        <v>10</v>
      </c>
      <c r="C29" s="13">
        <v>550</v>
      </c>
      <c r="D29" s="14" t="s">
        <v>11</v>
      </c>
      <c r="E29" s="13">
        <f>=IF(D29="水上",C29,C29*-1)</f>
        <v>-550</v>
      </c>
      <c r="F29" s="50">
        <f>=IF(E29&gt;0,E29*(1-E44),E29)</f>
        <v>-550</v>
      </c>
      <c r="G29" s="31" t="s"/>
      <c r="H29" s="31" t="s"/>
      <c r="I29" s="13" t="s">
        <v>36</v>
      </c>
      <c r="J29" s="13">
        <v>88</v>
      </c>
    </row>
    <row r="30" spans="1:10">
      <c r="A30" s="31" t="s"/>
      <c r="B30" s="13" t="s">
        <v>12</v>
      </c>
      <c r="C30" s="13">
        <v>700</v>
      </c>
      <c r="D30" s="14" t="s">
        <v>13</v>
      </c>
      <c r="E30" s="13">
        <f>=IF(D30="水上",C30,C30*-1)</f>
        <v>700</v>
      </c>
      <c r="F30" s="50">
        <f>=IF(E30&gt;0,E30*(1-E44),E30)</f>
        <v>659.864559819413</v>
      </c>
      <c r="G30" s="31" t="s"/>
      <c r="H30" s="31" t="s"/>
      <c r="I30" s="35" t="s">
        <v>37</v>
      </c>
      <c r="J30" s="13">
        <v>30</v>
      </c>
    </row>
    <row r="31" spans="1:10">
      <c r="A31" s="31" t="s"/>
      <c r="B31" s="13" t="s">
        <v>25</v>
      </c>
      <c r="C31" s="15">
        <v>0</v>
      </c>
      <c r="D31" s="14" t="s">
        <v>34</v>
      </c>
      <c r="E31" s="13">
        <f>=IF(D31="水上",C31,C31*-1)</f>
        <v>0</v>
      </c>
      <c r="F31" s="34">
        <f>=IF(E31&gt;0,E31*(1-E44),E31)</f>
        <v>0</v>
      </c>
      <c r="G31" s="31" t="s"/>
      <c r="H31" s="31" t="s"/>
      <c r="I31" s="51" t="s">
        <v>38</v>
      </c>
      <c r="J31" s="15">
        <v>0</v>
      </c>
    </row>
    <row r="32" spans="1:10">
      <c r="A32" s="31" t="s"/>
      <c r="B32" s="13" t="s">
        <v>14</v>
      </c>
      <c r="C32" s="13">
        <v>650</v>
      </c>
      <c r="D32" s="14" t="s">
        <v>11</v>
      </c>
      <c r="E32" s="13">
        <f>=IF(D32="水上",C32,C32*-1)</f>
        <v>-650</v>
      </c>
      <c r="F32" s="50">
        <f>=IF(E32&gt;0,E32*(1-E44),E32)</f>
        <v>-650</v>
      </c>
      <c r="G32" s="31" t="s"/>
      <c r="H32" s="31" t="s"/>
      <c r="I32" s="13" t="s">
        <v>39</v>
      </c>
      <c r="J32" s="13">
        <f>=SUM(J28:J31)</f>
        <v>254</v>
      </c>
    </row>
    <row r="33" spans="1:10">
      <c r="A33" s="31" t="s"/>
      <c r="B33" s="13" t="s">
        <v>15</v>
      </c>
      <c r="C33" s="13">
        <v>2630</v>
      </c>
      <c r="D33" s="14" t="s">
        <v>11</v>
      </c>
      <c r="E33" s="13">
        <f>=IF(D33="水上",C33,C33*-1)</f>
        <v>-2630</v>
      </c>
      <c r="F33" s="50">
        <f>=IF(E33&gt;0,E33*(1-E44),E33)</f>
        <v>-2630</v>
      </c>
      <c r="G33" s="31" t="s"/>
      <c r="H33" s="31" t="s"/>
      <c r="I33" s="31" t="s"/>
      <c r="J33" s="31" t="s"/>
    </row>
    <row r="34" spans="1:10">
      <c r="A34" s="31" t="s"/>
      <c r="B34" s="13" t="s">
        <v>16</v>
      </c>
      <c r="C34" s="13">
        <v>2150</v>
      </c>
      <c r="D34" s="14" t="s">
        <v>13</v>
      </c>
      <c r="E34" s="13">
        <f>=IF(D34="水上",C34,C34*-1)</f>
        <v>2150</v>
      </c>
      <c r="F34" s="50">
        <f>=IF(E34&gt;0,E34*(1-E44),E34)</f>
        <v>2026.72686230248</v>
      </c>
      <c r="G34" s="31" t="s"/>
      <c r="H34" s="31" t="s"/>
      <c r="I34" s="31" t="s"/>
      <c r="J34" s="31" t="s"/>
    </row>
    <row r="35" spans="1:10">
      <c r="A35" s="31" t="s"/>
      <c r="B35" s="13" t="s">
        <v>17</v>
      </c>
      <c r="C35" s="13">
        <v>1000</v>
      </c>
      <c r="D35" s="14" t="s">
        <v>13</v>
      </c>
      <c r="E35" s="13">
        <f>=IF(D35="水上",C35,C35*-1)</f>
        <v>1000</v>
      </c>
      <c r="F35" s="50">
        <f>=IF(E35&gt;0,E35*(1-E44),E35)</f>
        <v>942.663656884876</v>
      </c>
      <c r="G35" s="31" t="s"/>
      <c r="H35" s="31" t="s"/>
      <c r="I35" s="31" t="s"/>
      <c r="J35" s="31" t="s"/>
    </row>
    <row r="36" spans="1:10">
      <c r="A36" s="31" t="s"/>
      <c r="B36" s="13" t="s">
        <v>18</v>
      </c>
      <c r="C36" s="13">
        <v>350</v>
      </c>
      <c r="D36" s="14" t="s">
        <v>11</v>
      </c>
      <c r="E36" s="13">
        <f>=IF(D36="水上",C36,C36*-1)</f>
        <v>-350</v>
      </c>
      <c r="F36" s="50">
        <f>=IF(E36&gt;0,E36*(1-E44),E36)</f>
        <v>-350</v>
      </c>
      <c r="G36" s="31" t="s"/>
      <c r="H36" s="31" t="s"/>
      <c r="I36" s="31" t="s"/>
      <c r="J36" s="31" t="s"/>
    </row>
    <row r="37" spans="1:10">
      <c r="A37" s="31" t="s"/>
      <c r="B37" s="13" t="s">
        <v>19</v>
      </c>
      <c r="C37" s="13">
        <v>250</v>
      </c>
      <c r="D37" s="14" t="s">
        <v>11</v>
      </c>
      <c r="E37" s="13">
        <f>=IF(D37="水上",C37,C37*-1)</f>
        <v>-250</v>
      </c>
      <c r="F37" s="50">
        <f>=IF(E37&gt;0,E37*(1-E44),E37)</f>
        <v>-250</v>
      </c>
      <c r="G37" s="31" t="s"/>
      <c r="H37" s="31" t="s"/>
      <c r="I37" s="31" t="s"/>
      <c r="J37" s="31" t="s"/>
    </row>
    <row r="38" spans="1:10">
      <c r="A38" s="31" t="s"/>
      <c r="B38" s="52" t="s">
        <v>27</v>
      </c>
      <c r="C38" s="15">
        <v>0</v>
      </c>
      <c r="D38" s="14" t="s">
        <v>34</v>
      </c>
      <c r="E38" s="13">
        <f>=IF(D38="水上",C38,C38*-1)</f>
        <v>0</v>
      </c>
      <c r="F38" s="34">
        <f>=IF(E38&gt;0,E38*(1-E44),E38)</f>
        <v>0</v>
      </c>
      <c r="G38" s="31" t="s"/>
      <c r="H38" s="31" t="s"/>
      <c r="I38" s="31" t="s"/>
      <c r="J38" s="31" t="s"/>
    </row>
    <row r="39" spans="1:10">
      <c r="A39" s="31" t="s"/>
      <c r="B39" s="13" t="s">
        <v>20</v>
      </c>
      <c r="C39" s="13">
        <v>500</v>
      </c>
      <c r="D39" s="14" t="s">
        <v>13</v>
      </c>
      <c r="E39" s="13">
        <f>=IF(D39="水上",C39,C39*-1)</f>
        <v>500</v>
      </c>
      <c r="F39" s="50">
        <f>=IF(E39&gt;0,E39*(1-E44),E39)</f>
        <v>471.331828442438</v>
      </c>
      <c r="G39" s="31" t="s"/>
      <c r="H39" s="31" t="s"/>
      <c r="I39" s="31" t="s"/>
      <c r="J39" s="31" t="s"/>
    </row>
    <row r="40" spans="1:10">
      <c r="A40" s="31" t="s"/>
      <c r="B40" s="52" t="s">
        <v>21</v>
      </c>
      <c r="C40" s="13">
        <v>5</v>
      </c>
      <c r="D40" s="14" t="s">
        <v>13</v>
      </c>
      <c r="E40" s="52">
        <f>=IF(D40="水上",C40,C40*-1)</f>
        <v>5</v>
      </c>
      <c r="F40" s="53">
        <f>=IF(E40&gt;0,E40*(1-E44),E40)</f>
        <v>4.71331828442438</v>
      </c>
      <c r="G40" s="31" t="s"/>
      <c r="H40" s="31" t="s"/>
      <c r="I40" s="31" t="s"/>
      <c r="J40" s="31" t="s"/>
    </row>
    <row r="41" spans="1:10">
      <c r="A41" s="31" t="s"/>
      <c r="B41" s="54" t="s">
        <v>41</v>
      </c>
      <c r="C41" s="38" t="s"/>
      <c r="D41" s="38" t="s"/>
      <c r="E41" s="39">
        <f>=SUM(E28:E40)+E45</f>
        <v>0</v>
      </c>
      <c r="F41" s="40">
        <f>=SUM(F28:F40)+F45</f>
        <v>-254</v>
      </c>
      <c r="G41" s="31" t="s"/>
      <c r="H41" s="31" t="s"/>
      <c r="I41" s="31" t="s"/>
      <c r="J41" s="31" t="s"/>
    </row>
    <row r="42" spans="1:10">
      <c r="A42" s="31" t="s"/>
      <c r="B42" s="32" t="s">
        <v>42</v>
      </c>
      <c r="C42" s="38" t="s"/>
      <c r="D42" s="38" t="s"/>
      <c r="E42" s="40">
        <f>=J32</f>
        <v>254</v>
      </c>
      <c r="F42" s="41" t="s"/>
      <c r="G42" s="31" t="s"/>
      <c r="H42" s="31" t="s"/>
      <c r="I42" s="31" t="s"/>
      <c r="J42" s="31" t="s"/>
    </row>
    <row r="43" spans="1:10">
      <c r="A43" s="31" t="s"/>
      <c r="B43" s="32" t="s">
        <v>13</v>
      </c>
      <c r="C43" s="38" t="s"/>
      <c r="D43" s="38" t="s"/>
      <c r="E43" s="13">
        <f>=SUMIF(E28:E40,"&gt;0")+E45</f>
        <v>4430</v>
      </c>
      <c r="F43" s="41" t="s"/>
      <c r="G43" s="31" t="s"/>
      <c r="H43" s="31" t="s"/>
      <c r="I43" s="31" t="s"/>
      <c r="J43" s="31" t="s"/>
    </row>
    <row r="44" spans="1:10">
      <c r="A44" s="31" t="s"/>
      <c r="B44" s="32" t="s">
        <v>43</v>
      </c>
      <c r="C44" s="55" t="s"/>
      <c r="D44" s="56" t="s"/>
      <c r="E44" s="42">
        <f>=IF(E43&lt;&gt;0,E42/E43,0)</f>
        <v>0.057336343115124</v>
      </c>
      <c r="F44" s="41" t="s"/>
      <c r="G44" s="31" t="s"/>
      <c r="H44" s="31" t="s"/>
      <c r="I44" s="31" t="s"/>
      <c r="J44" s="31" t="s"/>
    </row>
    <row r="45" spans="1:10">
      <c r="A45" s="31" t="s"/>
      <c r="B45" s="13" t="s">
        <v>44</v>
      </c>
      <c r="C45" s="13">
        <v>75</v>
      </c>
      <c r="D45" s="14" t="s">
        <v>13</v>
      </c>
      <c r="E45" s="13">
        <f>=IF(D45="水上",C45,C45*-1)</f>
        <v>75</v>
      </c>
      <c r="F45" s="34">
        <f>=IF(E45&gt;0,E45*(1-E44),E45)</f>
        <v>70.6997742663657</v>
      </c>
      <c r="G45" s="31" t="s"/>
      <c r="H45" s="31" t="s"/>
      <c r="I45" s="31" t="s"/>
      <c r="J45" s="31" t="s"/>
    </row>
  </sheetData>
  <mergeCells count="9">
    <mergeCell ref="B16:D16"/>
    <mergeCell ref="B17:D17"/>
    <mergeCell ref="B18:D18"/>
    <mergeCell ref="B19:D19"/>
    <mergeCell ref="B26:F26"/>
    <mergeCell ref="B41:D41"/>
    <mergeCell ref="B42:D42"/>
    <mergeCell ref="B43:D43"/>
    <mergeCell ref="B44:D44"/>
  </mergeCells>
  <dataValidations>
    <dataValidation type="list" errorStyle="stop" showInputMessage="true" showErrorMessage="true" prompt="" sqref="D3:D15">
      <formula1>"水上,水下,水平,未参与,"</formula1>
      <formula2/>
    </dataValidation>
    <dataValidation type="list" errorStyle="stop" showInputMessage="true" showErrorMessage="true" prompt="" sqref="D20">
      <formula1>"水上,水下,水平,未参与,"</formula1>
      <formula2/>
    </dataValidation>
    <dataValidation type="list" errorStyle="stop" showInputMessage="true" showErrorMessage="true" prompt="" sqref="D28:D40">
      <formula1>"水上,水下,水平,未参与,"</formula1>
      <formula2/>
    </dataValidation>
    <dataValidation type="list" errorStyle="stop" showInputMessage="true" showErrorMessage="true" prompt="" sqref="D45">
      <formula1>"水上,水下,水平,未参与,"</formula1>
      <formula2/>
    </dataValidation>
  </dataValidations>
</worksheet>
</file>

<file path=xl/worksheets/sheet2.xml><?xml version="1.0" encoding="utf-8"?>
<worksheet xmlns="http://schemas.openxmlformats.org/spreadsheetml/2006/main">
  <sheetPr codeName="团建记录表">
    <tabColor/>
  </sheetPr>
  <dimension ref="G396"/>
  <sheetViews>
    <sheetView showGridLines="true" workbookViewId="0"/>
  </sheetViews>
  <sheetFormatPr baseColWidth="13" defaultRowHeight="18" customHeight="true"/>
  <cols>
    <col min="1" max="1" width="15.2422" style="95" customWidth="true"/>
    <col min="2" max="7" width="13.6719" style="95"/>
  </cols>
  <sheetData>
    <row r="1" spans="1:7">
      <c r="A1" s="4" t="s">
        <v>1</v>
      </c>
      <c r="B1" s="5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4" t="s">
        <v>7</v>
      </c>
    </row>
    <row r="2" spans="1:7">
      <c r="A2" s="6">
        <v>45658</v>
      </c>
      <c r="B2" s="7">
        <v>0.01</v>
      </c>
      <c r="C2" s="8" t="s">
        <v>8</v>
      </c>
      <c r="D2" s="8">
        <v>0</v>
      </c>
      <c r="E2" s="9" t="s">
        <v>9</v>
      </c>
      <c r="F2" s="8">
        <f>=IF(E2="水上",D2,D2*-1)</f>
        <v>0</v>
      </c>
      <c r="G2" s="10">
        <f>=IF(F2&gt;0,F2*(1-B2),F2)</f>
        <v>0</v>
      </c>
    </row>
    <row r="3" spans="1:7">
      <c r="A3" s="11">
        <v>45742</v>
      </c>
      <c r="B3" s="12">
        <v>0.0573</v>
      </c>
      <c r="C3" s="13" t="s">
        <v>10</v>
      </c>
      <c r="D3" s="13">
        <v>550</v>
      </c>
      <c r="E3" s="14" t="s">
        <v>11</v>
      </c>
      <c r="F3" s="15">
        <f>=IF(E3="水上",D3,D3*-1)</f>
        <v>-550</v>
      </c>
      <c r="G3" s="16">
        <f>=IF(F3&gt;0,F3*(1-B3),F3)</f>
        <v>-550</v>
      </c>
    </row>
    <row r="4" spans="1:7">
      <c r="A4" s="11">
        <v>45742</v>
      </c>
      <c r="B4" s="12">
        <v>0.0573</v>
      </c>
      <c r="C4" s="13" t="s">
        <v>12</v>
      </c>
      <c r="D4" s="13">
        <v>700</v>
      </c>
      <c r="E4" s="14" t="s">
        <v>13</v>
      </c>
      <c r="F4" s="15">
        <f>=IF(E4="水上",D4,D4*-1)</f>
        <v>700</v>
      </c>
      <c r="G4" s="16">
        <f>=IF(F4&gt;0,F4*(1-B4),F4)</f>
        <v>659.89</v>
      </c>
    </row>
    <row r="5" spans="1:7">
      <c r="A5" s="11">
        <v>45742</v>
      </c>
      <c r="B5" s="12">
        <v>0.0573</v>
      </c>
      <c r="C5" s="13" t="s">
        <v>14</v>
      </c>
      <c r="D5" s="13">
        <v>650</v>
      </c>
      <c r="E5" s="14" t="s">
        <v>11</v>
      </c>
      <c r="F5" s="15">
        <f>=IF(E5="水上",D5,D5*-1)</f>
        <v>-650</v>
      </c>
      <c r="G5" s="16">
        <f>=IF(F5&gt;0,F5*(1-B5),F5)</f>
        <v>-650</v>
      </c>
    </row>
    <row r="6" spans="1:7">
      <c r="A6" s="11">
        <v>45742</v>
      </c>
      <c r="B6" s="12">
        <v>0.0573</v>
      </c>
      <c r="C6" s="13" t="s">
        <v>15</v>
      </c>
      <c r="D6" s="13">
        <v>2630</v>
      </c>
      <c r="E6" s="14" t="s">
        <v>11</v>
      </c>
      <c r="F6" s="15">
        <f>=IF(E6="水上",D6,D6*-1)</f>
        <v>-2630</v>
      </c>
      <c r="G6" s="16">
        <f>=IF(F6&gt;0,F6*(1-B6),F6)</f>
        <v>-2630</v>
      </c>
    </row>
    <row r="7" spans="1:7">
      <c r="A7" s="11">
        <v>45742</v>
      </c>
      <c r="B7" s="12">
        <v>0.0573</v>
      </c>
      <c r="C7" s="13" t="s">
        <v>16</v>
      </c>
      <c r="D7" s="13">
        <v>2150</v>
      </c>
      <c r="E7" s="14" t="s">
        <v>13</v>
      </c>
      <c r="F7" s="15">
        <f>=IF(E7="水上",D7,D7*-1)</f>
        <v>2150</v>
      </c>
      <c r="G7" s="16">
        <f>=IF(F7&gt;0,F7*(1-B7),F7)</f>
        <v>2026.805</v>
      </c>
    </row>
    <row r="8" spans="1:7">
      <c r="A8" s="11">
        <v>45742</v>
      </c>
      <c r="B8" s="12">
        <v>0.0573</v>
      </c>
      <c r="C8" s="13" t="s">
        <v>17</v>
      </c>
      <c r="D8" s="13">
        <v>1000</v>
      </c>
      <c r="E8" s="14" t="s">
        <v>13</v>
      </c>
      <c r="F8" s="15">
        <f>=IF(E8="水上",D8,D8*-1)</f>
        <v>1000</v>
      </c>
      <c r="G8" s="16">
        <f>=IF(F8&gt;0,F8*(1-B8),F8)</f>
        <v>942.7</v>
      </c>
    </row>
    <row r="9" spans="1:7">
      <c r="A9" s="11">
        <v>45742</v>
      </c>
      <c r="B9" s="12">
        <v>0.0573</v>
      </c>
      <c r="C9" s="13" t="s">
        <v>18</v>
      </c>
      <c r="D9" s="13">
        <v>350</v>
      </c>
      <c r="E9" s="14" t="s">
        <v>11</v>
      </c>
      <c r="F9" s="15">
        <f>=IF(E9="水上",D9,D9*-1)</f>
        <v>-350</v>
      </c>
      <c r="G9" s="16">
        <f>=IF(F9&gt;0,F9*(1-B9),F9)</f>
        <v>-350</v>
      </c>
    </row>
    <row r="10" spans="1:7">
      <c r="A10" s="11">
        <v>45742</v>
      </c>
      <c r="B10" s="12">
        <v>0.0573</v>
      </c>
      <c r="C10" s="13" t="s">
        <v>19</v>
      </c>
      <c r="D10" s="13">
        <v>250</v>
      </c>
      <c r="E10" s="14" t="s">
        <v>11</v>
      </c>
      <c r="F10" s="15">
        <f>=IF(E10="水上",D10,D10*-1)</f>
        <v>-250</v>
      </c>
      <c r="G10" s="16">
        <f>=IF(F10&gt;0,F10*(1-B10),F10)</f>
        <v>-250</v>
      </c>
    </row>
    <row r="11" spans="1:7">
      <c r="A11" s="11">
        <v>45742</v>
      </c>
      <c r="B11" s="12">
        <v>0.0573</v>
      </c>
      <c r="C11" s="13" t="s">
        <v>20</v>
      </c>
      <c r="D11" s="13">
        <v>500</v>
      </c>
      <c r="E11" s="14" t="s">
        <v>13</v>
      </c>
      <c r="F11" s="15">
        <f>=IF(E11="水上",D11,D11*-1)</f>
        <v>500</v>
      </c>
      <c r="G11" s="16">
        <f>=IF(F11&gt;0,F11*(1-B11),F11)</f>
        <v>471.35</v>
      </c>
    </row>
    <row r="12" spans="1:7">
      <c r="A12" s="11">
        <v>45742</v>
      </c>
      <c r="B12" s="12">
        <v>0.0573</v>
      </c>
      <c r="C12" s="13" t="s">
        <v>21</v>
      </c>
      <c r="D12" s="13">
        <v>5</v>
      </c>
      <c r="E12" s="14" t="s">
        <v>13</v>
      </c>
      <c r="F12" s="15">
        <f>=IF(E12="水上",D12,D12*-1)</f>
        <v>5</v>
      </c>
      <c r="G12" s="16">
        <f>=IF(F12&gt;0,F12*(1-B12),F12)</f>
        <v>4.7135</v>
      </c>
    </row>
    <row r="13" spans="1:7">
      <c r="A13" s="11">
        <v>45741</v>
      </c>
      <c r="B13" s="12">
        <v>0.0804</v>
      </c>
      <c r="C13" s="17" t="s">
        <v>22</v>
      </c>
      <c r="D13" s="15">
        <v>450</v>
      </c>
      <c r="E13" s="18" t="s">
        <v>11</v>
      </c>
      <c r="F13" s="15">
        <f>=IF(E13="水上",D13,D13*-1)</f>
        <v>-450</v>
      </c>
      <c r="G13" s="16">
        <f>=IF(F13&gt;0,F13*(1-B13),F13)</f>
        <v>-450</v>
      </c>
    </row>
    <row r="14" spans="1:7">
      <c r="A14" s="11">
        <v>45741</v>
      </c>
      <c r="B14" s="12">
        <v>0.0804</v>
      </c>
      <c r="C14" s="17" t="s">
        <v>10</v>
      </c>
      <c r="D14" s="15">
        <v>55</v>
      </c>
      <c r="E14" s="18" t="s">
        <v>13</v>
      </c>
      <c r="F14" s="15">
        <f>=IF(E14="水上",D14,D14*-1)</f>
        <v>55</v>
      </c>
      <c r="G14" s="16">
        <f>=IF(F14&gt;0,F14*(1-B14),F14)</f>
        <v>50.578</v>
      </c>
    </row>
    <row r="15" spans="1:7">
      <c r="A15" s="11">
        <v>45741</v>
      </c>
      <c r="B15" s="12">
        <v>0.0804</v>
      </c>
      <c r="C15" s="17" t="s">
        <v>15</v>
      </c>
      <c r="D15" s="15">
        <v>865</v>
      </c>
      <c r="E15" s="18" t="s">
        <v>13</v>
      </c>
      <c r="F15" s="15">
        <f>=IF(E15="水上",D15,D15*-1)</f>
        <v>865</v>
      </c>
      <c r="G15" s="16">
        <f>=IF(F15&gt;0,F15*(1-B15),F15)</f>
        <v>795.454</v>
      </c>
    </row>
    <row r="16" spans="1:7">
      <c r="A16" s="11">
        <v>45741</v>
      </c>
      <c r="B16" s="12">
        <v>0.0804</v>
      </c>
      <c r="C16" s="17" t="s">
        <v>16</v>
      </c>
      <c r="D16" s="15">
        <v>900</v>
      </c>
      <c r="E16" s="18" t="s">
        <v>11</v>
      </c>
      <c r="F16" s="15">
        <f>=IF(E16="水上",D16,D16*-1)</f>
        <v>-900</v>
      </c>
      <c r="G16" s="16">
        <f>=IF(F16&gt;0,F16*(1-B16),F16)</f>
        <v>-900</v>
      </c>
    </row>
    <row r="17" spans="1:7">
      <c r="A17" s="11">
        <v>45741</v>
      </c>
      <c r="B17" s="12">
        <v>0.0804</v>
      </c>
      <c r="C17" s="17" t="s">
        <v>18</v>
      </c>
      <c r="D17" s="15">
        <v>10</v>
      </c>
      <c r="E17" s="18" t="s">
        <v>13</v>
      </c>
      <c r="F17" s="15">
        <f>=IF(E17="水上",D17,D17*-1)</f>
        <v>10</v>
      </c>
      <c r="G17" s="16">
        <f>=IF(F17&gt;0,F17*(1-B17),F17)</f>
        <v>9.196</v>
      </c>
    </row>
    <row r="18" spans="1:7">
      <c r="A18" s="11">
        <v>45741</v>
      </c>
      <c r="B18" s="12">
        <v>0.0804</v>
      </c>
      <c r="C18" s="19" t="s">
        <v>23</v>
      </c>
      <c r="D18" s="15">
        <v>260</v>
      </c>
      <c r="E18" s="18" t="s">
        <v>13</v>
      </c>
      <c r="F18" s="15">
        <f>=IF(E18="水上",D18,D18*-1)</f>
        <v>260</v>
      </c>
      <c r="G18" s="16">
        <f>=IF(F18&gt;0,F18*(1-B18),F18)</f>
        <v>239.096</v>
      </c>
    </row>
    <row r="19" spans="1:7">
      <c r="A19" s="11">
        <v>45741</v>
      </c>
      <c r="B19" s="12">
        <v>0.0804</v>
      </c>
      <c r="C19" s="17" t="s">
        <v>20</v>
      </c>
      <c r="D19" s="15">
        <v>700</v>
      </c>
      <c r="E19" s="18" t="s">
        <v>13</v>
      </c>
      <c r="F19" s="15">
        <f>=IF(E19="水上",D19,D19*-1)</f>
        <v>700</v>
      </c>
      <c r="G19" s="16">
        <f>=IF(F19&gt;0,F19*(1-B19),F19)</f>
        <v>643.72</v>
      </c>
    </row>
    <row r="20" spans="1:7">
      <c r="A20" s="11">
        <v>45741</v>
      </c>
      <c r="B20" s="12">
        <v>0.0804</v>
      </c>
      <c r="C20" s="17" t="s">
        <v>24</v>
      </c>
      <c r="D20" s="15">
        <v>540</v>
      </c>
      <c r="E20" s="18" t="s">
        <v>11</v>
      </c>
      <c r="F20" s="15">
        <f>=IF(E20="水上",D20,D20*-1)</f>
        <v>-540</v>
      </c>
      <c r="G20" s="16">
        <f>=IF(F20&gt;0,F20*(1-B20),F20)</f>
        <v>-540</v>
      </c>
    </row>
    <row r="21" spans="1:7">
      <c r="A21" s="11">
        <v>45740</v>
      </c>
      <c r="B21" s="12">
        <v>0.1</v>
      </c>
      <c r="C21" s="17" t="s">
        <v>22</v>
      </c>
      <c r="D21" s="15">
        <v>1000</v>
      </c>
      <c r="E21" s="18" t="s">
        <v>11</v>
      </c>
      <c r="F21" s="15">
        <f>=IF(E21="水上",D21,D21*-1)</f>
        <v>-1000</v>
      </c>
      <c r="G21" s="16">
        <f>=IF(F21&gt;0,F21*(1-B21),F21)</f>
        <v>-1000</v>
      </c>
    </row>
    <row r="22" spans="1:7">
      <c r="A22" s="11">
        <v>45740</v>
      </c>
      <c r="B22" s="12">
        <v>0.1</v>
      </c>
      <c r="C22" s="15" t="s">
        <v>12</v>
      </c>
      <c r="D22" s="15">
        <v>380</v>
      </c>
      <c r="E22" s="18" t="s">
        <v>13</v>
      </c>
      <c r="F22" s="15">
        <f>=IF(E22="水上",D22,D22*-1)</f>
        <v>380</v>
      </c>
      <c r="G22" s="16">
        <f>=IF(F22&gt;0,F22*(1-B22),F22)</f>
        <v>342</v>
      </c>
    </row>
    <row r="23" spans="1:7">
      <c r="A23" s="11">
        <v>45740</v>
      </c>
      <c r="B23" s="12">
        <v>0.1</v>
      </c>
      <c r="C23" s="15" t="s">
        <v>25</v>
      </c>
      <c r="D23" s="15">
        <v>670</v>
      </c>
      <c r="E23" s="18" t="s">
        <v>13</v>
      </c>
      <c r="F23" s="15">
        <f>=IF(E23="水上",D23,D23*-1)</f>
        <v>670</v>
      </c>
      <c r="G23" s="16">
        <f>=IF(F23&gt;0,F23*(1-B23),F23)</f>
        <v>603</v>
      </c>
    </row>
    <row r="24" spans="1:7">
      <c r="A24" s="11">
        <v>45740</v>
      </c>
      <c r="B24" s="12">
        <v>0.1</v>
      </c>
      <c r="C24" s="17" t="s">
        <v>14</v>
      </c>
      <c r="D24" s="15">
        <v>780</v>
      </c>
      <c r="E24" s="18" t="s">
        <v>11</v>
      </c>
      <c r="F24" s="15">
        <f>=IF(E24="水上",D24,D24*-1)</f>
        <v>-780</v>
      </c>
      <c r="G24" s="16">
        <f>=IF(F24&gt;0,F24*(1-B24),F24)</f>
        <v>-780</v>
      </c>
    </row>
    <row r="25" spans="1:7">
      <c r="A25" s="11">
        <v>45740</v>
      </c>
      <c r="B25" s="12">
        <v>0.1</v>
      </c>
      <c r="C25" s="17" t="s">
        <v>15</v>
      </c>
      <c r="D25" s="15">
        <v>910</v>
      </c>
      <c r="E25" s="18" t="s">
        <v>13</v>
      </c>
      <c r="F25" s="15">
        <f>=IF(E25="水上",D25,D25*-1)</f>
        <v>910</v>
      </c>
      <c r="G25" s="16">
        <f>=IF(F25&gt;0,F25*(1-B25),F25)</f>
        <v>819</v>
      </c>
    </row>
    <row r="26" spans="1:7">
      <c r="A26" s="11">
        <v>45740</v>
      </c>
      <c r="B26" s="12">
        <v>0.1</v>
      </c>
      <c r="C26" s="17" t="s">
        <v>18</v>
      </c>
      <c r="D26" s="15">
        <v>150</v>
      </c>
      <c r="E26" s="18" t="s">
        <v>13</v>
      </c>
      <c r="F26" s="15">
        <f>=IF(E26="水上",D26,D26*-1)</f>
        <v>150</v>
      </c>
      <c r="G26" s="16">
        <f>=IF(F26&gt;0,F26*(1-B26),F26)</f>
        <v>135</v>
      </c>
    </row>
    <row r="27" spans="1:7">
      <c r="A27" s="11">
        <v>45740</v>
      </c>
      <c r="B27" s="12">
        <v>0.1</v>
      </c>
      <c r="C27" s="19" t="s">
        <v>23</v>
      </c>
      <c r="D27" s="15">
        <v>60</v>
      </c>
      <c r="E27" s="18" t="s">
        <v>13</v>
      </c>
      <c r="F27" s="15">
        <f>=IF(E27="水上",D27,D27*-1)</f>
        <v>60</v>
      </c>
      <c r="G27" s="16">
        <f>=IF(F27&gt;0,F27*(1-B27),F27)</f>
        <v>54</v>
      </c>
    </row>
    <row r="28" spans="1:7">
      <c r="A28" s="11">
        <v>45740</v>
      </c>
      <c r="B28" s="12">
        <v>0.1</v>
      </c>
      <c r="C28" s="17" t="s">
        <v>20</v>
      </c>
      <c r="D28" s="15">
        <v>390</v>
      </c>
      <c r="E28" s="18" t="s">
        <v>11</v>
      </c>
      <c r="F28" s="15">
        <f>=IF(E28="水上",D28,D28*-1)</f>
        <v>-390</v>
      </c>
      <c r="G28" s="16">
        <f>=IF(F28&gt;0,F28*(1-B28),F28)</f>
        <v>-390</v>
      </c>
    </row>
    <row r="29" spans="1:7">
      <c r="A29" s="11">
        <v>45737</v>
      </c>
      <c r="B29" s="12">
        <v>0.0534</v>
      </c>
      <c r="C29" s="17" t="s">
        <v>22</v>
      </c>
      <c r="D29" s="15">
        <v>650</v>
      </c>
      <c r="E29" s="18" t="s">
        <v>13</v>
      </c>
      <c r="F29" s="15">
        <f>=IF(E29="水上",D29,D29*-1)</f>
        <v>650</v>
      </c>
      <c r="G29" s="16">
        <f>=IF(F29&gt;0,F29*(1-B29),F29)</f>
        <v>615.29</v>
      </c>
    </row>
    <row r="30" spans="1:7">
      <c r="A30" s="11">
        <v>45737</v>
      </c>
      <c r="B30" s="12">
        <v>0.0534</v>
      </c>
      <c r="C30" s="17" t="s">
        <v>10</v>
      </c>
      <c r="D30" s="15">
        <v>280</v>
      </c>
      <c r="E30" s="18" t="s">
        <v>11</v>
      </c>
      <c r="F30" s="15">
        <f>=IF(E30="水上",D30,D30*-1)</f>
        <v>-280</v>
      </c>
      <c r="G30" s="16">
        <f>=IF(F30&gt;0,F30*(1-B30),F30)</f>
        <v>-280</v>
      </c>
    </row>
    <row r="31" spans="1:7">
      <c r="A31" s="11">
        <v>45737</v>
      </c>
      <c r="B31" s="12">
        <v>0.0534</v>
      </c>
      <c r="C31" s="15" t="s">
        <v>12</v>
      </c>
      <c r="D31" s="15">
        <v>100</v>
      </c>
      <c r="E31" s="18" t="s">
        <v>11</v>
      </c>
      <c r="F31" s="15">
        <f>=IF(E31="水上",D31,D31*-1)</f>
        <v>-100</v>
      </c>
      <c r="G31" s="16">
        <f>=IF(F31&gt;0,F31*(1-B31),F31)</f>
        <v>-100</v>
      </c>
    </row>
    <row r="32" spans="1:7">
      <c r="A32" s="11">
        <v>45737</v>
      </c>
      <c r="B32" s="12">
        <v>0.0534</v>
      </c>
      <c r="C32" s="17" t="s">
        <v>14</v>
      </c>
      <c r="D32" s="15">
        <v>120</v>
      </c>
      <c r="E32" s="18" t="s">
        <v>11</v>
      </c>
      <c r="F32" s="15">
        <f>=IF(E32="水上",D32,D32*-1)</f>
        <v>-120</v>
      </c>
      <c r="G32" s="16">
        <f>=IF(F32&gt;0,F32*(1-B32),F32)</f>
        <v>-120</v>
      </c>
    </row>
    <row r="33" spans="1:7">
      <c r="A33" s="11">
        <v>45737</v>
      </c>
      <c r="B33" s="12">
        <v>0.0534</v>
      </c>
      <c r="C33" s="17" t="s">
        <v>15</v>
      </c>
      <c r="D33" s="15">
        <v>3000</v>
      </c>
      <c r="E33" s="18" t="s">
        <v>11</v>
      </c>
      <c r="F33" s="15">
        <f>=IF(E33="水上",D33,D33*-1)</f>
        <v>-3000</v>
      </c>
      <c r="G33" s="16">
        <f>=IF(F33&gt;0,F33*(1-B33),F33)</f>
        <v>-3000</v>
      </c>
    </row>
    <row r="34" spans="1:7">
      <c r="A34" s="11">
        <v>45737</v>
      </c>
      <c r="B34" s="12">
        <v>0.0534</v>
      </c>
      <c r="C34" s="17" t="s">
        <v>16</v>
      </c>
      <c r="D34" s="15">
        <v>910</v>
      </c>
      <c r="E34" s="18" t="s">
        <v>13</v>
      </c>
      <c r="F34" s="15">
        <f>=IF(E34="水上",D34,D34*-1)</f>
        <v>910</v>
      </c>
      <c r="G34" s="16">
        <f>=IF(F34&gt;0,F34*(1-B34),F34)</f>
        <v>861.406</v>
      </c>
    </row>
    <row r="35" spans="1:7">
      <c r="A35" s="11">
        <v>45737</v>
      </c>
      <c r="B35" s="12">
        <v>0.0534</v>
      </c>
      <c r="C35" s="17" t="s">
        <v>18</v>
      </c>
      <c r="D35" s="15">
        <v>820</v>
      </c>
      <c r="E35" s="18" t="s">
        <v>13</v>
      </c>
      <c r="F35" s="15">
        <f>=IF(E35="水上",D35,D35*-1)</f>
        <v>820</v>
      </c>
      <c r="G35" s="16">
        <f>=IF(F35&gt;0,F35*(1-B35),F35)</f>
        <v>776.212</v>
      </c>
    </row>
    <row r="36" spans="1:7">
      <c r="A36" s="11">
        <v>45737</v>
      </c>
      <c r="B36" s="12">
        <v>0.0534</v>
      </c>
      <c r="C36" s="17" t="s">
        <v>19</v>
      </c>
      <c r="D36" s="15">
        <v>1500</v>
      </c>
      <c r="E36" s="18" t="s">
        <v>11</v>
      </c>
      <c r="F36" s="15">
        <f>=IF(E36="水上",D36,D36*-1)</f>
        <v>-1500</v>
      </c>
      <c r="G36" s="16">
        <f>=IF(F36&gt;0,F36*(1-B36),F36)</f>
        <v>-1500</v>
      </c>
    </row>
    <row r="37" spans="1:7">
      <c r="A37" s="11">
        <v>45737</v>
      </c>
      <c r="B37" s="12">
        <v>0.0534</v>
      </c>
      <c r="C37" s="17" t="s">
        <v>23</v>
      </c>
      <c r="D37" s="15">
        <v>2100</v>
      </c>
      <c r="E37" s="18" t="s">
        <v>13</v>
      </c>
      <c r="F37" s="15">
        <f>=IF(E37="水上",D37,D37*-1)</f>
        <v>2100</v>
      </c>
      <c r="G37" s="16">
        <f>=IF(F37&gt;0,F37*(1-B37),F37)</f>
        <v>1987.86</v>
      </c>
    </row>
    <row r="38" spans="1:7">
      <c r="A38" s="11">
        <v>45737</v>
      </c>
      <c r="B38" s="12">
        <v>0.0534</v>
      </c>
      <c r="C38" s="17" t="s">
        <v>26</v>
      </c>
      <c r="D38" s="15">
        <v>520</v>
      </c>
      <c r="E38" s="18" t="s">
        <v>13</v>
      </c>
      <c r="F38" s="15">
        <f>=IF(E38="水上",D38,D38*-1)</f>
        <v>520</v>
      </c>
      <c r="G38" s="16">
        <f>=IF(F38&gt;0,F38*(1-B38),F38)</f>
        <v>492.232</v>
      </c>
    </row>
    <row r="39" spans="1:7">
      <c r="A39" s="11">
        <v>45734</v>
      </c>
      <c r="B39" s="12">
        <v>0.0462</v>
      </c>
      <c r="C39" s="17" t="s">
        <v>10</v>
      </c>
      <c r="D39" s="15">
        <v>1080</v>
      </c>
      <c r="E39" s="18" t="s">
        <v>11</v>
      </c>
      <c r="F39" s="15">
        <f>=IF(E39="水上",D39,D39*-1)</f>
        <v>-1080</v>
      </c>
      <c r="G39" s="16">
        <f>=IF(F39&gt;0,F39*(1-B39),F39)</f>
        <v>-1080</v>
      </c>
    </row>
    <row r="40" spans="1:7">
      <c r="A40" s="11">
        <v>45734</v>
      </c>
      <c r="B40" s="12">
        <v>0.0462</v>
      </c>
      <c r="C40" s="15" t="s">
        <v>12</v>
      </c>
      <c r="D40" s="15">
        <v>800</v>
      </c>
      <c r="E40" s="18" t="s">
        <v>13</v>
      </c>
      <c r="F40" s="15">
        <f>=IF(E40="水上",D40,D40*-1)</f>
        <v>800</v>
      </c>
      <c r="G40" s="16">
        <f>=IF(F40&gt;0,F40*(1-B40),F40)</f>
        <v>763.04</v>
      </c>
    </row>
    <row r="41" spans="1:7">
      <c r="A41" s="11">
        <v>45734</v>
      </c>
      <c r="B41" s="12">
        <v>0.0462</v>
      </c>
      <c r="C41" s="17" t="s">
        <v>15</v>
      </c>
      <c r="D41" s="15">
        <v>650</v>
      </c>
      <c r="E41" s="18" t="s">
        <v>11</v>
      </c>
      <c r="F41" s="15">
        <f>=IF(E41="水上",D41,D41*-1)</f>
        <v>-650</v>
      </c>
      <c r="G41" s="16">
        <f>=IF(F41&gt;0,F41*(1-B41),F41)</f>
        <v>-650</v>
      </c>
    </row>
    <row r="42" spans="1:7">
      <c r="A42" s="11">
        <v>45734</v>
      </c>
      <c r="B42" s="12">
        <v>0.0462</v>
      </c>
      <c r="C42" s="17" t="s">
        <v>16</v>
      </c>
      <c r="D42" s="15">
        <v>1500</v>
      </c>
      <c r="E42" s="18" t="s">
        <v>11</v>
      </c>
      <c r="F42" s="15">
        <f>=IF(E42="水上",D42,D42*-1)</f>
        <v>-1500</v>
      </c>
      <c r="G42" s="16">
        <f>=IF(F42&gt;0,F42*(1-B42),F42)</f>
        <v>-1500</v>
      </c>
    </row>
    <row r="43" spans="1:7">
      <c r="A43" s="11">
        <v>45734</v>
      </c>
      <c r="B43" s="12">
        <v>0.0462</v>
      </c>
      <c r="C43" s="17" t="s">
        <v>17</v>
      </c>
      <c r="D43" s="15">
        <v>280</v>
      </c>
      <c r="E43" s="18" t="s">
        <v>13</v>
      </c>
      <c r="F43" s="15">
        <f>=IF(E43="水上",D43,D43*-1)</f>
        <v>280</v>
      </c>
      <c r="G43" s="16">
        <f>=IF(F43&gt;0,F43*(1-B43),F43)</f>
        <v>267.064</v>
      </c>
    </row>
    <row r="44" spans="1:7">
      <c r="A44" s="11">
        <v>45734</v>
      </c>
      <c r="B44" s="12">
        <v>0.0462</v>
      </c>
      <c r="C44" s="17" t="s">
        <v>18</v>
      </c>
      <c r="D44" s="15">
        <v>280</v>
      </c>
      <c r="E44" s="18" t="s">
        <v>13</v>
      </c>
      <c r="F44" s="15">
        <f>=IF(E44="水上",D44,D44*-1)</f>
        <v>280</v>
      </c>
      <c r="G44" s="16">
        <f>=IF(F44&gt;0,F44*(1-B44),F44)</f>
        <v>267.064</v>
      </c>
    </row>
    <row r="45" spans="1:7">
      <c r="A45" s="11">
        <v>45734</v>
      </c>
      <c r="B45" s="12">
        <v>0.0462</v>
      </c>
      <c r="C45" s="17" t="s">
        <v>27</v>
      </c>
      <c r="D45" s="15">
        <v>1400</v>
      </c>
      <c r="E45" s="18" t="s">
        <v>11</v>
      </c>
      <c r="F45" s="15">
        <f>=IF(E45="水上",D45,D45*-1)</f>
        <v>-1400</v>
      </c>
      <c r="G45" s="16">
        <f>=IF(F45&gt;0,F45*(1-B45),F45)</f>
        <v>-1400</v>
      </c>
    </row>
    <row r="46" spans="1:7">
      <c r="A46" s="11">
        <v>45734</v>
      </c>
      <c r="B46" s="12">
        <v>0.0462</v>
      </c>
      <c r="C46" s="17" t="s">
        <v>20</v>
      </c>
      <c r="D46" s="15">
        <v>2800</v>
      </c>
      <c r="E46" s="18" t="s">
        <v>13</v>
      </c>
      <c r="F46" s="15">
        <f>=IF(E46="水上",D46,D46*-1)</f>
        <v>2800</v>
      </c>
      <c r="G46" s="16">
        <f>=IF(F46&gt;0,F46*(1-B46),F46)</f>
        <v>2670.64</v>
      </c>
    </row>
    <row r="47" spans="1:7">
      <c r="A47" s="11">
        <v>45734</v>
      </c>
      <c r="B47" s="12">
        <v>0.0462</v>
      </c>
      <c r="C47" s="17" t="s">
        <v>24</v>
      </c>
      <c r="D47" s="15">
        <v>370</v>
      </c>
      <c r="E47" s="18" t="s">
        <v>13</v>
      </c>
      <c r="F47" s="15">
        <f>=IF(E47="水上",D47,D47*-1)</f>
        <v>370</v>
      </c>
      <c r="G47" s="16">
        <f>=IF(F47&gt;0,F47*(1-B47),F47)</f>
        <v>352.906</v>
      </c>
    </row>
    <row r="48" spans="1:7">
      <c r="A48" s="11">
        <v>45734</v>
      </c>
      <c r="B48" s="12">
        <v>0.0897</v>
      </c>
      <c r="C48" s="17" t="s">
        <v>22</v>
      </c>
      <c r="D48" s="15">
        <v>260</v>
      </c>
      <c r="E48" s="18" t="s">
        <v>11</v>
      </c>
      <c r="F48" s="15">
        <f>=IF(E48="水上",D48,D48*-1)</f>
        <v>-260</v>
      </c>
      <c r="G48" s="16">
        <f>=IF(F48&gt;0,F48*(1-B48),F48)</f>
        <v>-260</v>
      </c>
    </row>
    <row r="49" spans="1:7">
      <c r="A49" s="11">
        <v>45734</v>
      </c>
      <c r="B49" s="12">
        <v>0.0897</v>
      </c>
      <c r="C49" s="17" t="s">
        <v>10</v>
      </c>
      <c r="D49" s="15">
        <v>1880</v>
      </c>
      <c r="E49" s="18" t="s">
        <v>11</v>
      </c>
      <c r="F49" s="15">
        <f>=IF(E49="水上",D49,D49*-1)</f>
        <v>-1880</v>
      </c>
      <c r="G49" s="16">
        <f>=IF(F49&gt;0,F49*(1-B49),F49)</f>
        <v>-1880</v>
      </c>
    </row>
    <row r="50" spans="1:7">
      <c r="A50" s="11">
        <v>45734</v>
      </c>
      <c r="B50" s="12">
        <v>0.0897</v>
      </c>
      <c r="C50" s="15" t="s">
        <v>12</v>
      </c>
      <c r="D50" s="15">
        <v>50</v>
      </c>
      <c r="E50" s="18" t="s">
        <v>13</v>
      </c>
      <c r="F50" s="15">
        <f>=IF(E50="水上",D50,D50*-1)</f>
        <v>50</v>
      </c>
      <c r="G50" s="16">
        <f>=IF(F50&gt;0,F50*(1-B50),F50)</f>
        <v>45.515</v>
      </c>
    </row>
    <row r="51" spans="1:7">
      <c r="A51" s="11">
        <v>45734</v>
      </c>
      <c r="B51" s="12">
        <v>0.0897</v>
      </c>
      <c r="C51" s="17" t="s">
        <v>17</v>
      </c>
      <c r="D51" s="15">
        <v>300</v>
      </c>
      <c r="E51" s="18" t="s">
        <v>11</v>
      </c>
      <c r="F51" s="15">
        <f>=IF(E51="水上",D51,D51*-1)</f>
        <v>-300</v>
      </c>
      <c r="G51" s="16">
        <f>=IF(F51&gt;0,F51*(1-B51),F51)</f>
        <v>-300</v>
      </c>
    </row>
    <row r="52" spans="1:7">
      <c r="A52" s="11">
        <v>45734</v>
      </c>
      <c r="B52" s="12">
        <v>0.0897</v>
      </c>
      <c r="C52" s="17" t="s">
        <v>18</v>
      </c>
      <c r="D52" s="15">
        <v>320</v>
      </c>
      <c r="E52" s="18" t="s">
        <v>13</v>
      </c>
      <c r="F52" s="15">
        <f>=IF(E52="水上",D52,D52*-1)</f>
        <v>320</v>
      </c>
      <c r="G52" s="16">
        <f>=IF(F52&gt;0,F52*(1-B52),F52)</f>
        <v>291.296</v>
      </c>
    </row>
    <row r="53" spans="1:7">
      <c r="A53" s="11">
        <v>45734</v>
      </c>
      <c r="B53" s="12">
        <v>0.0897</v>
      </c>
      <c r="C53" s="17" t="s">
        <v>19</v>
      </c>
      <c r="D53" s="15">
        <v>190</v>
      </c>
      <c r="E53" s="18" t="s">
        <v>11</v>
      </c>
      <c r="F53" s="15">
        <f>=IF(E53="水上",D53,D53*-1)</f>
        <v>-190</v>
      </c>
      <c r="G53" s="16">
        <f>=IF(F53&gt;0,F53*(1-B53),F53)</f>
        <v>-190</v>
      </c>
    </row>
    <row r="54" spans="1:7">
      <c r="A54" s="11">
        <v>45734</v>
      </c>
      <c r="B54" s="12">
        <v>0.0897</v>
      </c>
      <c r="C54" s="17" t="s">
        <v>20</v>
      </c>
      <c r="D54" s="15">
        <v>2250</v>
      </c>
      <c r="E54" s="18" t="s">
        <v>13</v>
      </c>
      <c r="F54" s="15">
        <f>=IF(E54="水上",D54,D54*-1)</f>
        <v>2250</v>
      </c>
      <c r="G54" s="16">
        <f>=IF(F54&gt;0,F54*(1-B54),F54)</f>
        <v>2048.175</v>
      </c>
    </row>
    <row r="55" spans="1:7">
      <c r="A55" s="11">
        <v>45733</v>
      </c>
      <c r="B55" s="12">
        <v>0.0716</v>
      </c>
      <c r="C55" s="17" t="s">
        <v>22</v>
      </c>
      <c r="D55" s="15">
        <v>140</v>
      </c>
      <c r="E55" s="18" t="s">
        <v>11</v>
      </c>
      <c r="F55" s="15">
        <f>=IF(E55="水上",D55,D55*-1)</f>
        <v>-140</v>
      </c>
      <c r="G55" s="16">
        <f>=IF(F55&gt;0,F55*(1-B55),F55)</f>
        <v>-140</v>
      </c>
    </row>
    <row r="56" spans="1:7">
      <c r="A56" s="11">
        <v>45733</v>
      </c>
      <c r="B56" s="12">
        <v>0.0716</v>
      </c>
      <c r="C56" s="17" t="s">
        <v>10</v>
      </c>
      <c r="D56" s="15">
        <v>1350</v>
      </c>
      <c r="E56" s="18" t="s">
        <v>13</v>
      </c>
      <c r="F56" s="15">
        <f>=IF(E56="水上",D56,D56*-1)</f>
        <v>1350</v>
      </c>
      <c r="G56" s="16">
        <f>=IF(F56&gt;0,F56*(1-B56),F56)</f>
        <v>1253.34</v>
      </c>
    </row>
    <row r="57" spans="1:7">
      <c r="A57" s="11">
        <v>45733</v>
      </c>
      <c r="B57" s="12">
        <v>0.0716</v>
      </c>
      <c r="C57" s="17" t="s">
        <v>14</v>
      </c>
      <c r="D57" s="15">
        <v>180</v>
      </c>
      <c r="E57" s="18" t="s">
        <v>13</v>
      </c>
      <c r="F57" s="15">
        <f>=IF(E57="水上",D57,D57*-1)</f>
        <v>180</v>
      </c>
      <c r="G57" s="16">
        <f>=IF(F57&gt;0,F57*(1-B57),F57)</f>
        <v>167.112</v>
      </c>
    </row>
    <row r="58" spans="1:7">
      <c r="A58" s="11">
        <v>45733</v>
      </c>
      <c r="B58" s="12">
        <v>0.0716</v>
      </c>
      <c r="C58" s="17" t="s">
        <v>15</v>
      </c>
      <c r="D58" s="15">
        <v>580</v>
      </c>
      <c r="E58" s="18" t="s">
        <v>11</v>
      </c>
      <c r="F58" s="15">
        <f>=IF(E58="水上",D58,D58*-1)</f>
        <v>-580</v>
      </c>
      <c r="G58" s="16">
        <f>=IF(F58&gt;0,F58*(1-B58),F58)</f>
        <v>-580</v>
      </c>
    </row>
    <row r="59" spans="1:7">
      <c r="A59" s="11">
        <v>45733</v>
      </c>
      <c r="B59" s="12">
        <v>0.0716</v>
      </c>
      <c r="C59" s="17" t="s">
        <v>16</v>
      </c>
      <c r="D59" s="15">
        <v>430</v>
      </c>
      <c r="E59" s="18" t="s">
        <v>13</v>
      </c>
      <c r="F59" s="15">
        <f>=IF(E59="水上",D59,D59*-1)</f>
        <v>430</v>
      </c>
      <c r="G59" s="16">
        <f>=IF(F59&gt;0,F59*(1-B59),F59)</f>
        <v>399.212</v>
      </c>
    </row>
    <row r="60" spans="1:7">
      <c r="A60" s="11">
        <v>45733</v>
      </c>
      <c r="B60" s="12">
        <v>0.0716</v>
      </c>
      <c r="C60" s="17" t="s">
        <v>18</v>
      </c>
      <c r="D60" s="15">
        <v>0</v>
      </c>
      <c r="E60" s="18" t="s">
        <v>9</v>
      </c>
      <c r="F60" s="15">
        <f>=IF(E60="水上",D60,D60*-1)</f>
        <v>0</v>
      </c>
      <c r="G60" s="16">
        <f>=IF(F60&gt;0,F60*(1-B60),F60)</f>
        <v>0</v>
      </c>
    </row>
    <row r="61" spans="1:7">
      <c r="A61" s="11">
        <v>45733</v>
      </c>
      <c r="B61" s="12">
        <v>0.0716</v>
      </c>
      <c r="C61" s="17" t="s">
        <v>23</v>
      </c>
      <c r="D61" s="15">
        <v>200</v>
      </c>
      <c r="E61" s="18" t="s">
        <v>13</v>
      </c>
      <c r="F61" s="15">
        <f>=IF(E61="水上",D61,D61*-1)</f>
        <v>200</v>
      </c>
      <c r="G61" s="16">
        <f>=IF(F61&gt;0,F61*(1-B61),F61)</f>
        <v>185.68</v>
      </c>
    </row>
    <row r="62" spans="1:7">
      <c r="A62" s="11">
        <v>45733</v>
      </c>
      <c r="B62" s="12">
        <v>0.0716</v>
      </c>
      <c r="C62" s="17" t="s">
        <v>20</v>
      </c>
      <c r="D62" s="15">
        <v>1500</v>
      </c>
      <c r="E62" s="18" t="s">
        <v>11</v>
      </c>
      <c r="F62" s="15">
        <f>=IF(E62="水上",D62,D62*-1)</f>
        <v>-1500</v>
      </c>
      <c r="G62" s="16">
        <f>=IF(F62&gt;0,F62*(1-B62),F62)</f>
        <v>-1500</v>
      </c>
    </row>
    <row r="63" spans="1:7">
      <c r="A63" s="11">
        <v>45733</v>
      </c>
      <c r="B63" s="12">
        <v>0.0716</v>
      </c>
      <c r="C63" s="17" t="s">
        <v>24</v>
      </c>
      <c r="D63" s="15">
        <v>40</v>
      </c>
      <c r="E63" s="18" t="s">
        <v>13</v>
      </c>
      <c r="F63" s="15">
        <f>=IF(E63="水上",D63,D63*-1)</f>
        <v>40</v>
      </c>
      <c r="G63" s="16">
        <f>=IF(F63&gt;0,F63*(1-B63),F63)</f>
        <v>37.136</v>
      </c>
    </row>
    <row r="64" spans="1:7">
      <c r="A64" s="11">
        <v>45730</v>
      </c>
      <c r="B64" s="12">
        <v>0.0849</v>
      </c>
      <c r="C64" s="17" t="s">
        <v>22</v>
      </c>
      <c r="D64" s="15">
        <v>1530</v>
      </c>
      <c r="E64" s="18" t="s">
        <v>11</v>
      </c>
      <c r="F64" s="15">
        <f>=IF(E64="水上",D64,D64*-1)</f>
        <v>-1530</v>
      </c>
      <c r="G64" s="16">
        <f>=IF(F64&gt;0,F64*(1-B64),F64)</f>
        <v>-1530</v>
      </c>
    </row>
    <row r="65" spans="1:7">
      <c r="A65" s="11">
        <v>45730</v>
      </c>
      <c r="B65" s="12">
        <v>0.0849</v>
      </c>
      <c r="C65" s="17" t="s">
        <v>10</v>
      </c>
      <c r="D65" s="15">
        <v>630</v>
      </c>
      <c r="E65" s="18" t="s">
        <v>11</v>
      </c>
      <c r="F65" s="15">
        <f>=IF(E65="水上",D65,D65*-1)</f>
        <v>-630</v>
      </c>
      <c r="G65" s="16">
        <f>=IF(F65&gt;0,F65*(1-B65),F65)</f>
        <v>-630</v>
      </c>
    </row>
    <row r="66" spans="1:7">
      <c r="A66" s="11">
        <v>45730</v>
      </c>
      <c r="B66" s="12">
        <v>0.0849</v>
      </c>
      <c r="C66" s="15" t="s">
        <v>25</v>
      </c>
      <c r="D66" s="15">
        <v>2000</v>
      </c>
      <c r="E66" s="18" t="s">
        <v>13</v>
      </c>
      <c r="F66" s="15">
        <f>=IF(E66="水上",D66,D66*-1)</f>
        <v>2000</v>
      </c>
      <c r="G66" s="16">
        <f>=IF(F66&gt;0,F66*(1-B66),F66)</f>
        <v>1830.2</v>
      </c>
    </row>
    <row r="67" spans="1:7">
      <c r="A67" s="11">
        <v>45730</v>
      </c>
      <c r="B67" s="12">
        <v>0.0849</v>
      </c>
      <c r="C67" s="17" t="s">
        <v>15</v>
      </c>
      <c r="D67" s="15">
        <v>900</v>
      </c>
      <c r="E67" s="18" t="s">
        <v>13</v>
      </c>
      <c r="F67" s="15">
        <f>=IF(E67="水上",D67,D67*-1)</f>
        <v>900</v>
      </c>
      <c r="G67" s="16">
        <f>=IF(F67&gt;0,F67*(1-B67),F67)</f>
        <v>823.59</v>
      </c>
    </row>
    <row r="68" spans="1:7">
      <c r="A68" s="11">
        <v>45730</v>
      </c>
      <c r="B68" s="12">
        <v>0.0849</v>
      </c>
      <c r="C68" s="17" t="s">
        <v>16</v>
      </c>
      <c r="D68" s="15">
        <v>1000</v>
      </c>
      <c r="E68" s="18" t="s">
        <v>11</v>
      </c>
      <c r="F68" s="15">
        <f>=IF(E68="水上",D68,D68*-1)</f>
        <v>-1000</v>
      </c>
      <c r="G68" s="16">
        <f>=IF(F68&gt;0,F68*(1-B68),F68)</f>
        <v>-1000</v>
      </c>
    </row>
    <row r="69" spans="1:7">
      <c r="A69" s="11">
        <v>45730</v>
      </c>
      <c r="B69" s="12">
        <v>0.0849</v>
      </c>
      <c r="C69" s="17" t="s">
        <v>18</v>
      </c>
      <c r="D69" s="15">
        <v>260</v>
      </c>
      <c r="E69" s="18" t="s">
        <v>13</v>
      </c>
      <c r="F69" s="15">
        <f>=IF(E69="水上",D69,D69*-1)</f>
        <v>260</v>
      </c>
      <c r="G69" s="16">
        <f>=IF(F69&gt;0,F69*(1-B69),F69)</f>
        <v>237.926</v>
      </c>
    </row>
    <row r="70" spans="1:7">
      <c r="A70" s="11">
        <v>45730</v>
      </c>
      <c r="B70" s="12">
        <v>0.0849</v>
      </c>
      <c r="C70" s="17" t="s">
        <v>23</v>
      </c>
      <c r="D70" s="15">
        <v>90</v>
      </c>
      <c r="E70" s="18" t="s">
        <v>11</v>
      </c>
      <c r="F70" s="15">
        <f>=IF(E70="水上",D70,D70*-1)</f>
        <v>-90</v>
      </c>
      <c r="G70" s="16">
        <f>=IF(F70&gt;0,F70*(1-B70),F70)</f>
        <v>-90</v>
      </c>
    </row>
    <row r="71" spans="1:7">
      <c r="A71" s="11">
        <v>45729</v>
      </c>
      <c r="B71" s="12">
        <v>0.1155</v>
      </c>
      <c r="C71" s="17" t="s">
        <v>22</v>
      </c>
      <c r="D71" s="15">
        <v>900</v>
      </c>
      <c r="E71" s="18" t="s">
        <v>13</v>
      </c>
      <c r="F71" s="15">
        <f>=IF(E71="水上",D71,D71*-1)</f>
        <v>900</v>
      </c>
      <c r="G71" s="16">
        <f>=IF(F71&gt;0,F71*(1-B71),F71)</f>
        <v>796.05</v>
      </c>
    </row>
    <row r="72" spans="1:7">
      <c r="A72" s="11">
        <v>45729</v>
      </c>
      <c r="B72" s="12">
        <v>0.1155</v>
      </c>
      <c r="C72" s="17" t="s">
        <v>10</v>
      </c>
      <c r="D72" s="15">
        <v>1000</v>
      </c>
      <c r="E72" s="18" t="s">
        <v>11</v>
      </c>
      <c r="F72" s="15">
        <f>=IF(E72="水上",D72,D72*-1)</f>
        <v>-1000</v>
      </c>
      <c r="G72" s="16">
        <f>=IF(F72&gt;0,F72*(1-B72),F72)</f>
        <v>-1000</v>
      </c>
    </row>
    <row r="73" spans="1:7">
      <c r="A73" s="11">
        <v>45729</v>
      </c>
      <c r="B73" s="12">
        <v>0.1155</v>
      </c>
      <c r="C73" s="17" t="s">
        <v>18</v>
      </c>
      <c r="D73" s="15">
        <v>450</v>
      </c>
      <c r="E73" s="18" t="s">
        <v>13</v>
      </c>
      <c r="F73" s="15">
        <f>=IF(E73="水上",D73,D73*-1)</f>
        <v>450</v>
      </c>
      <c r="G73" s="16">
        <f>=IF(F73&gt;0,F73*(1-B73),F73)</f>
        <v>398.025</v>
      </c>
    </row>
    <row r="74" spans="1:7">
      <c r="A74" s="11">
        <v>45729</v>
      </c>
      <c r="B74" s="12">
        <v>0.1155</v>
      </c>
      <c r="C74" s="17" t="s">
        <v>19</v>
      </c>
      <c r="D74" s="15">
        <v>230</v>
      </c>
      <c r="E74" s="18" t="s">
        <v>13</v>
      </c>
      <c r="F74" s="15">
        <f>=IF(E74="水上",D74,D74*-1)</f>
        <v>230</v>
      </c>
      <c r="G74" s="16">
        <f>=IF(F74&gt;0,F74*(1-B74),F74)</f>
        <v>203.435</v>
      </c>
    </row>
    <row r="75" spans="1:7">
      <c r="A75" s="11">
        <v>45729</v>
      </c>
      <c r="B75" s="12">
        <v>0.1155</v>
      </c>
      <c r="C75" s="20" t="s">
        <v>21</v>
      </c>
      <c r="D75" s="15">
        <v>65</v>
      </c>
      <c r="E75" s="18" t="s">
        <v>13</v>
      </c>
      <c r="F75" s="15">
        <f>=IF(E75="水上",D75,D75*-1)</f>
        <v>65</v>
      </c>
      <c r="G75" s="16">
        <f>=IF(F75&gt;0,F75*(1-B75),F75)</f>
        <v>57.4925</v>
      </c>
    </row>
    <row r="76" spans="1:7">
      <c r="A76" s="11">
        <v>45729</v>
      </c>
      <c r="B76" s="12">
        <v>0.1155</v>
      </c>
      <c r="C76" s="17" t="s">
        <v>20</v>
      </c>
      <c r="D76" s="15">
        <v>320</v>
      </c>
      <c r="E76" s="18" t="s">
        <v>13</v>
      </c>
      <c r="F76" s="15">
        <f>=IF(E76="水上",D76,D76*-1)</f>
        <v>320</v>
      </c>
      <c r="G76" s="16">
        <f>=IF(F76&gt;0,F76*(1-B76),F76)</f>
        <v>283.04</v>
      </c>
    </row>
    <row r="77" spans="1:7">
      <c r="A77" s="11">
        <v>45729</v>
      </c>
      <c r="B77" s="12">
        <v>0.1155</v>
      </c>
      <c r="C77" s="17" t="s">
        <v>24</v>
      </c>
      <c r="D77" s="15">
        <v>1060</v>
      </c>
      <c r="E77" s="18" t="s">
        <v>11</v>
      </c>
      <c r="F77" s="15">
        <f>=IF(E77="水上",D77,D77*-1)</f>
        <v>-1060</v>
      </c>
      <c r="G77" s="16">
        <f>=IF(F77&gt;0,F77*(1-B77),F77)</f>
        <v>-1060</v>
      </c>
    </row>
    <row r="78" spans="1:7">
      <c r="A78" s="11">
        <v>45727</v>
      </c>
      <c r="B78" s="12">
        <v>0.0316</v>
      </c>
      <c r="C78" s="17" t="s">
        <v>22</v>
      </c>
      <c r="D78" s="15">
        <v>1400</v>
      </c>
      <c r="E78" s="18" t="s">
        <v>11</v>
      </c>
      <c r="F78" s="15">
        <f>=IF(E78="水上",D78,D78*-1)</f>
        <v>-1400</v>
      </c>
      <c r="G78" s="16">
        <f>=IF(F78&gt;0,F78*(1-B78),F78)</f>
        <v>-1400</v>
      </c>
    </row>
    <row r="79" spans="1:7">
      <c r="A79" s="11">
        <v>45727</v>
      </c>
      <c r="B79" s="12">
        <v>0.0316</v>
      </c>
      <c r="C79" s="17" t="s">
        <v>10</v>
      </c>
      <c r="D79" s="15">
        <v>2550</v>
      </c>
      <c r="E79" s="18" t="s">
        <v>13</v>
      </c>
      <c r="F79" s="15">
        <f>=IF(E79="水上",D79,D79*-1)</f>
        <v>2550</v>
      </c>
      <c r="G79" s="16">
        <f>=IF(F79&gt;0,F79*(1-B79),F79)</f>
        <v>2469.42</v>
      </c>
    </row>
    <row r="80" spans="1:7">
      <c r="A80" s="11">
        <v>45727</v>
      </c>
      <c r="B80" s="12">
        <v>0.0316</v>
      </c>
      <c r="C80" s="15" t="s">
        <v>12</v>
      </c>
      <c r="D80" s="15">
        <v>1000</v>
      </c>
      <c r="E80" s="18" t="s">
        <v>11</v>
      </c>
      <c r="F80" s="15">
        <f>=IF(E80="水上",D80,D80*-1)</f>
        <v>-1000</v>
      </c>
      <c r="G80" s="16">
        <f>=IF(F80&gt;0,F80*(1-B80),F80)</f>
        <v>-1000</v>
      </c>
    </row>
    <row r="81" spans="1:7">
      <c r="A81" s="11">
        <v>45727</v>
      </c>
      <c r="B81" s="12">
        <v>0.0316</v>
      </c>
      <c r="C81" s="15" t="s">
        <v>25</v>
      </c>
      <c r="D81" s="15">
        <v>70</v>
      </c>
      <c r="E81" s="18" t="s">
        <v>13</v>
      </c>
      <c r="F81" s="15">
        <f>=IF(E81="水上",D81,D81*-1)</f>
        <v>70</v>
      </c>
      <c r="G81" s="16">
        <f>=IF(F81&gt;0,F81*(1-B81),F81)</f>
        <v>67.788</v>
      </c>
    </row>
    <row r="82" spans="1:7">
      <c r="A82" s="11">
        <v>45727</v>
      </c>
      <c r="B82" s="12">
        <v>0.0316</v>
      </c>
      <c r="C82" s="17" t="s">
        <v>14</v>
      </c>
      <c r="D82" s="15">
        <v>2820</v>
      </c>
      <c r="E82" s="18" t="s">
        <v>11</v>
      </c>
      <c r="F82" s="15">
        <f>=IF(E82="水上",D82,D82*-1)</f>
        <v>-2820</v>
      </c>
      <c r="G82" s="16">
        <f>=IF(F82&gt;0,F82*(1-B82),F82)</f>
        <v>-2820</v>
      </c>
    </row>
    <row r="83" spans="1:7">
      <c r="A83" s="11">
        <v>45727</v>
      </c>
      <c r="B83" s="12">
        <v>0.0316</v>
      </c>
      <c r="C83" s="17" t="s">
        <v>15</v>
      </c>
      <c r="D83" s="15">
        <v>400</v>
      </c>
      <c r="E83" s="18" t="s">
        <v>13</v>
      </c>
      <c r="F83" s="15">
        <f>=IF(E83="水上",D83,D83*-1)</f>
        <v>400</v>
      </c>
      <c r="G83" s="16">
        <f>=IF(F83&gt;0,F83*(1-B83),F83)</f>
        <v>387.36</v>
      </c>
    </row>
    <row r="84" spans="1:7">
      <c r="A84" s="11">
        <v>45727</v>
      </c>
      <c r="B84" s="12">
        <v>0.0316</v>
      </c>
      <c r="C84" s="17" t="s">
        <v>16</v>
      </c>
      <c r="D84" s="15">
        <v>1640</v>
      </c>
      <c r="E84" s="18" t="s">
        <v>11</v>
      </c>
      <c r="F84" s="15">
        <f>=IF(E84="水上",D84,D84*-1)</f>
        <v>-1640</v>
      </c>
      <c r="G84" s="16">
        <f>=IF(F84&gt;0,F84*(1-B84),F84)</f>
        <v>-1640</v>
      </c>
    </row>
    <row r="85" spans="1:7">
      <c r="A85" s="11">
        <v>45727</v>
      </c>
      <c r="B85" s="12">
        <v>0.0316</v>
      </c>
      <c r="C85" s="17" t="s">
        <v>18</v>
      </c>
      <c r="D85" s="15">
        <v>1820</v>
      </c>
      <c r="E85" s="18" t="s">
        <v>13</v>
      </c>
      <c r="F85" s="15">
        <f>=IF(E85="水上",D85,D85*-1)</f>
        <v>1820</v>
      </c>
      <c r="G85" s="16">
        <f>=IF(F85&gt;0,F85*(1-B85),F85)</f>
        <v>1762.488</v>
      </c>
    </row>
    <row r="86" spans="1:7">
      <c r="A86" s="11">
        <v>45727</v>
      </c>
      <c r="B86" s="12">
        <v>0.0316</v>
      </c>
      <c r="C86" s="17" t="s">
        <v>19</v>
      </c>
      <c r="D86" s="15">
        <v>190</v>
      </c>
      <c r="E86" s="18" t="s">
        <v>13</v>
      </c>
      <c r="F86" s="15">
        <f>=IF(E86="水上",D86,D86*-1)</f>
        <v>190</v>
      </c>
      <c r="G86" s="16">
        <f>=IF(F86&gt;0,F86*(1-B86),F86)</f>
        <v>183.996</v>
      </c>
    </row>
    <row r="87" spans="1:7">
      <c r="A87" s="11">
        <v>45727</v>
      </c>
      <c r="B87" s="12">
        <v>0.0316</v>
      </c>
      <c r="C87" s="17" t="s">
        <v>23</v>
      </c>
      <c r="D87" s="15">
        <v>1800</v>
      </c>
      <c r="E87" s="18" t="s">
        <v>13</v>
      </c>
      <c r="F87" s="15">
        <f>=IF(E87="水上",D87,D87*-1)</f>
        <v>1800</v>
      </c>
      <c r="G87" s="16">
        <f>=IF(F87&gt;0,F87*(1-B87),F87)</f>
        <v>1743.12</v>
      </c>
    </row>
    <row r="88" spans="1:7">
      <c r="A88" s="11">
        <v>45723</v>
      </c>
      <c r="B88" s="12">
        <v>0.0619</v>
      </c>
      <c r="C88" s="17" t="s">
        <v>22</v>
      </c>
      <c r="D88" s="15">
        <v>780</v>
      </c>
      <c r="E88" s="18" t="s">
        <v>11</v>
      </c>
      <c r="F88" s="15">
        <f>=IF(E88="水上",D88,D88*-1)</f>
        <v>-780</v>
      </c>
      <c r="G88" s="16">
        <f>=IF(F88&gt;0,F88*(1-B88),F88)</f>
        <v>-780</v>
      </c>
    </row>
    <row r="89" spans="1:7">
      <c r="A89" s="11">
        <v>45723</v>
      </c>
      <c r="B89" s="12">
        <v>0.0619</v>
      </c>
      <c r="C89" s="17" t="s">
        <v>10</v>
      </c>
      <c r="D89" s="15">
        <v>50</v>
      </c>
      <c r="E89" s="18" t="s">
        <v>13</v>
      </c>
      <c r="F89" s="15">
        <f>=IF(E89="水上",D89,D89*-1)</f>
        <v>50</v>
      </c>
      <c r="G89" s="16">
        <f>=IF(F89&gt;0,F89*(1-B89),F89)</f>
        <v>46.905</v>
      </c>
    </row>
    <row r="90" spans="1:7">
      <c r="A90" s="11">
        <v>45723</v>
      </c>
      <c r="B90" s="12">
        <v>0.0619</v>
      </c>
      <c r="C90" s="15" t="s">
        <v>12</v>
      </c>
      <c r="D90" s="15">
        <v>1490</v>
      </c>
      <c r="E90" s="18" t="s">
        <v>11</v>
      </c>
      <c r="F90" s="15">
        <f>=IF(E90="水上",D90,D90*-1)</f>
        <v>-1490</v>
      </c>
      <c r="G90" s="16">
        <f>=IF(F90&gt;0,F90*(1-B90),F90)</f>
        <v>-1490</v>
      </c>
    </row>
    <row r="91" spans="1:7">
      <c r="A91" s="11">
        <v>45723</v>
      </c>
      <c r="B91" s="12">
        <v>0.0619</v>
      </c>
      <c r="C91" s="15" t="s">
        <v>25</v>
      </c>
      <c r="D91" s="15">
        <v>210</v>
      </c>
      <c r="E91" s="18" t="s">
        <v>13</v>
      </c>
      <c r="F91" s="15">
        <f>=IF(E91="水上",D91,D91*-1)</f>
        <v>210</v>
      </c>
      <c r="G91" s="16">
        <f>=IF(F91&gt;0,F91*(1-B91),F91)</f>
        <v>197.001</v>
      </c>
    </row>
    <row r="92" spans="1:7">
      <c r="A92" s="11">
        <v>45723</v>
      </c>
      <c r="B92" s="12">
        <v>0.0619</v>
      </c>
      <c r="C92" s="17" t="s">
        <v>14</v>
      </c>
      <c r="D92" s="15">
        <v>395</v>
      </c>
      <c r="E92" s="18" t="s">
        <v>11</v>
      </c>
      <c r="F92" s="15">
        <f>=IF(E92="水上",D92,D92*-1)</f>
        <v>-395</v>
      </c>
      <c r="G92" s="16">
        <f>=IF(F92&gt;0,F92*(1-B92),F92)</f>
        <v>-395</v>
      </c>
    </row>
    <row r="93" spans="1:7">
      <c r="A93" s="11">
        <v>45723</v>
      </c>
      <c r="B93" s="12">
        <v>0.0619</v>
      </c>
      <c r="C93" s="17" t="s">
        <v>15</v>
      </c>
      <c r="D93" s="15">
        <v>1700</v>
      </c>
      <c r="E93" s="18" t="s">
        <v>13</v>
      </c>
      <c r="F93" s="15">
        <f>=IF(E93="水上",D93,D93*-1)</f>
        <v>1700</v>
      </c>
      <c r="G93" s="16">
        <f>=IF(F93&gt;0,F93*(1-B93),F93)</f>
        <v>1594.77</v>
      </c>
    </row>
    <row r="94" spans="1:7">
      <c r="A94" s="11">
        <v>45723</v>
      </c>
      <c r="B94" s="12">
        <v>0.0619</v>
      </c>
      <c r="C94" s="17" t="s">
        <v>18</v>
      </c>
      <c r="D94" s="15">
        <v>1000</v>
      </c>
      <c r="E94" s="18" t="s">
        <v>13</v>
      </c>
      <c r="F94" s="15">
        <f>=IF(E94="水上",D94,D94*-1)</f>
        <v>1000</v>
      </c>
      <c r="G94" s="16">
        <f>=IF(F94&gt;0,F94*(1-B94),F94)</f>
        <v>938.1</v>
      </c>
    </row>
    <row r="95" spans="1:7">
      <c r="A95" s="11">
        <v>45723</v>
      </c>
      <c r="B95" s="12">
        <v>0.0619</v>
      </c>
      <c r="C95" s="17" t="s">
        <v>19</v>
      </c>
      <c r="D95" s="15">
        <v>50</v>
      </c>
      <c r="E95" s="18" t="s">
        <v>13</v>
      </c>
      <c r="F95" s="15">
        <f>=IF(E95="水上",D95,D95*-1)</f>
        <v>50</v>
      </c>
      <c r="G95" s="16">
        <f>=IF(F95&gt;0,F95*(1-B95),F95)</f>
        <v>46.905</v>
      </c>
    </row>
    <row r="96" spans="1:7">
      <c r="A96" s="11">
        <v>45723</v>
      </c>
      <c r="B96" s="12">
        <v>0.0619</v>
      </c>
      <c r="C96" s="17" t="s">
        <v>23</v>
      </c>
      <c r="D96" s="15">
        <v>415</v>
      </c>
      <c r="E96" s="18" t="s">
        <v>11</v>
      </c>
      <c r="F96" s="15">
        <f>=IF(E96="水上",D96,D96*-1)</f>
        <v>-415</v>
      </c>
      <c r="G96" s="16">
        <f>=IF(F96&gt;0,F96*(1-B96),F96)</f>
        <v>-415</v>
      </c>
    </row>
    <row r="97" spans="1:7">
      <c r="A97" s="11">
        <v>45723</v>
      </c>
      <c r="B97" s="12">
        <v>0.0619</v>
      </c>
      <c r="C97" s="17" t="s">
        <v>24</v>
      </c>
      <c r="D97" s="15">
        <v>60</v>
      </c>
      <c r="E97" s="18" t="s">
        <v>13</v>
      </c>
      <c r="F97" s="15">
        <f>=IF(E97="水上",D97,D97*-1)</f>
        <v>60</v>
      </c>
      <c r="G97" s="16">
        <f>=IF(F97&gt;0,F97*(1-B97),F97)</f>
        <v>56.286</v>
      </c>
    </row>
    <row r="98" spans="1:7">
      <c r="A98" s="11">
        <v>45722</v>
      </c>
      <c r="B98" s="12">
        <v>0.088</v>
      </c>
      <c r="C98" s="17" t="s">
        <v>10</v>
      </c>
      <c r="D98" s="15">
        <v>450</v>
      </c>
      <c r="E98" s="18" t="s">
        <v>13</v>
      </c>
      <c r="F98" s="15">
        <f>=IF(E98="水上",D98,D98*-1)</f>
        <v>450</v>
      </c>
      <c r="G98" s="16">
        <f>=IF(F98&gt;0,F98*(1-B98),F98)</f>
        <v>410.4</v>
      </c>
    </row>
    <row r="99" spans="1:7">
      <c r="A99" s="11">
        <v>45722</v>
      </c>
      <c r="B99" s="12">
        <v>0.088</v>
      </c>
      <c r="C99" s="15" t="s">
        <v>12</v>
      </c>
      <c r="D99" s="15">
        <v>650</v>
      </c>
      <c r="E99" s="18" t="s">
        <v>13</v>
      </c>
      <c r="F99" s="15">
        <f>=IF(E99="水上",D99,D99*-1)</f>
        <v>650</v>
      </c>
      <c r="G99" s="16">
        <f>=IF(F99&gt;0,F99*(1-B99),F99)</f>
        <v>592.8</v>
      </c>
    </row>
    <row r="100" spans="1:7">
      <c r="A100" s="11">
        <v>45722</v>
      </c>
      <c r="B100" s="12">
        <v>0.088</v>
      </c>
      <c r="C100" s="17" t="s">
        <v>15</v>
      </c>
      <c r="D100" s="15">
        <v>1000</v>
      </c>
      <c r="E100" s="18" t="s">
        <v>11</v>
      </c>
      <c r="F100" s="15">
        <f>=IF(E100="水上",D100,D100*-1)</f>
        <v>-1000</v>
      </c>
      <c r="G100" s="16">
        <f>=IF(F100&gt;0,F100*(1-B100),F100)</f>
        <v>-1000</v>
      </c>
    </row>
    <row r="101" spans="1:7">
      <c r="A101" s="11">
        <v>45722</v>
      </c>
      <c r="B101" s="12">
        <v>0.088</v>
      </c>
      <c r="C101" s="17" t="s">
        <v>16</v>
      </c>
      <c r="D101" s="15">
        <v>450</v>
      </c>
      <c r="E101" s="18" t="s">
        <v>13</v>
      </c>
      <c r="F101" s="15">
        <f>=IF(E101="水上",D101,D101*-1)</f>
        <v>450</v>
      </c>
      <c r="G101" s="16">
        <f>=IF(F101&gt;0,F101*(1-B101),F101)</f>
        <v>410.4</v>
      </c>
    </row>
    <row r="102" spans="1:7">
      <c r="A102" s="11">
        <v>45722</v>
      </c>
      <c r="B102" s="12">
        <v>0.088</v>
      </c>
      <c r="C102" s="17" t="s">
        <v>23</v>
      </c>
      <c r="D102" s="15">
        <v>1000</v>
      </c>
      <c r="E102" s="18" t="s">
        <v>11</v>
      </c>
      <c r="F102" s="15">
        <f>=IF(E102="水上",D102,D102*-1)</f>
        <v>-1000</v>
      </c>
      <c r="G102" s="16">
        <f>=IF(F102&gt;0,F102*(1-B102),F102)</f>
        <v>-1000</v>
      </c>
    </row>
    <row r="103" spans="1:7">
      <c r="A103" s="11">
        <v>45722</v>
      </c>
      <c r="B103" s="12">
        <v>0.088</v>
      </c>
      <c r="C103" s="21" t="s">
        <v>20</v>
      </c>
      <c r="D103" s="15">
        <v>170</v>
      </c>
      <c r="E103" s="18" t="s">
        <v>11</v>
      </c>
      <c r="F103" s="15">
        <f>=IF(E103="水上",D103,D103*-1)</f>
        <v>-170</v>
      </c>
      <c r="G103" s="16">
        <f>=IF(F103&gt;0,F103*(1-B103),F103)</f>
        <v>-170</v>
      </c>
    </row>
    <row r="104" spans="1:7">
      <c r="A104" s="11">
        <v>45722</v>
      </c>
      <c r="B104" s="12">
        <v>0.088</v>
      </c>
      <c r="C104" s="17" t="s">
        <v>24</v>
      </c>
      <c r="D104" s="15">
        <v>550</v>
      </c>
      <c r="E104" s="18" t="s">
        <v>13</v>
      </c>
      <c r="F104" s="15">
        <f>=IF(E104="水上",D104,D104*-1)</f>
        <v>550</v>
      </c>
      <c r="G104" s="16">
        <f>=IF(F104&gt;0,F104*(1-B104),F104)</f>
        <v>501.6</v>
      </c>
    </row>
    <row r="105" spans="1:7">
      <c r="A105" s="11">
        <v>45721</v>
      </c>
      <c r="B105" s="12">
        <v>0.0863</v>
      </c>
      <c r="C105" s="17" t="s">
        <v>22</v>
      </c>
      <c r="D105" s="15">
        <v>900</v>
      </c>
      <c r="E105" s="18" t="s">
        <v>13</v>
      </c>
      <c r="F105" s="15">
        <f>=IF(E105="水上",D105,D105*-1)</f>
        <v>900</v>
      </c>
      <c r="G105" s="16">
        <f>=IF(F105&gt;0,F105*(1-B105),F105)</f>
        <v>822.33</v>
      </c>
    </row>
    <row r="106" spans="1:7">
      <c r="A106" s="11">
        <v>45721</v>
      </c>
      <c r="B106" s="12">
        <v>0.0863</v>
      </c>
      <c r="C106" s="17" t="s">
        <v>10</v>
      </c>
      <c r="D106" s="15">
        <v>235</v>
      </c>
      <c r="E106" s="18" t="s">
        <v>11</v>
      </c>
      <c r="F106" s="15">
        <f>=IF(E106="水上",D106,D106*-1)</f>
        <v>-235</v>
      </c>
      <c r="G106" s="16">
        <f>=IF(F106&gt;0,F106*(1-B106),F106)</f>
        <v>-235</v>
      </c>
    </row>
    <row r="107" spans="1:7">
      <c r="A107" s="11">
        <v>45721</v>
      </c>
      <c r="B107" s="12">
        <v>0.0863</v>
      </c>
      <c r="C107" s="15" t="s">
        <v>12</v>
      </c>
      <c r="D107" s="15">
        <v>100</v>
      </c>
      <c r="E107" s="18" t="s">
        <v>13</v>
      </c>
      <c r="F107" s="15">
        <f>=IF(E107="水上",D107,D107*-1)</f>
        <v>100</v>
      </c>
      <c r="G107" s="16">
        <f>=IF(F107&gt;0,F107*(1-B107),F107)</f>
        <v>91.37</v>
      </c>
    </row>
    <row r="108" spans="1:7">
      <c r="A108" s="11">
        <v>45721</v>
      </c>
      <c r="B108" s="12">
        <v>0.0863</v>
      </c>
      <c r="C108" s="17" t="s">
        <v>14</v>
      </c>
      <c r="D108" s="15">
        <v>570</v>
      </c>
      <c r="E108" s="18" t="s">
        <v>11</v>
      </c>
      <c r="F108" s="15">
        <f>=IF(E108="水上",D108,D108*-1)</f>
        <v>-570</v>
      </c>
      <c r="G108" s="16">
        <f>=IF(F108&gt;0,F108*(1-B108),F108)</f>
        <v>-570</v>
      </c>
    </row>
    <row r="109" spans="1:7">
      <c r="A109" s="11">
        <v>45721</v>
      </c>
      <c r="B109" s="12">
        <v>0.0863</v>
      </c>
      <c r="C109" s="17" t="s">
        <v>18</v>
      </c>
      <c r="D109" s="15">
        <v>1390</v>
      </c>
      <c r="E109" s="18" t="s">
        <v>13</v>
      </c>
      <c r="F109" s="15">
        <f>=IF(E109="水上",D109,D109*-1)</f>
        <v>1390</v>
      </c>
      <c r="G109" s="16">
        <f>=IF(F109&gt;0,F109*(1-B109),F109)</f>
        <v>1270.043</v>
      </c>
    </row>
    <row r="110" spans="1:7">
      <c r="A110" s="11">
        <v>45721</v>
      </c>
      <c r="B110" s="12">
        <v>0.0863</v>
      </c>
      <c r="C110" s="17" t="s">
        <v>19</v>
      </c>
      <c r="D110" s="15">
        <v>470</v>
      </c>
      <c r="E110" s="18" t="s">
        <v>11</v>
      </c>
      <c r="F110" s="15">
        <f>=IF(E110="水上",D110,D110*-1)</f>
        <v>-470</v>
      </c>
      <c r="G110" s="16">
        <f>=IF(F110&gt;0,F110*(1-B110),F110)</f>
        <v>-470</v>
      </c>
    </row>
    <row r="111" spans="1:7">
      <c r="A111" s="11">
        <v>45721</v>
      </c>
      <c r="B111" s="12">
        <v>0.0863</v>
      </c>
      <c r="C111" s="17" t="s">
        <v>23</v>
      </c>
      <c r="D111" s="15">
        <v>550</v>
      </c>
      <c r="E111" s="18" t="s">
        <v>11</v>
      </c>
      <c r="F111" s="15">
        <f>=IF(E111="水上",D111,D111*-1)</f>
        <v>-550</v>
      </c>
      <c r="G111" s="16">
        <f>=IF(F111&gt;0,F111*(1-B111),F111)</f>
        <v>-550</v>
      </c>
    </row>
    <row r="112" spans="1:7">
      <c r="A112" s="11">
        <v>45721</v>
      </c>
      <c r="B112" s="12">
        <v>0.0863</v>
      </c>
      <c r="C112" s="17" t="s">
        <v>28</v>
      </c>
      <c r="D112" s="15">
        <v>620</v>
      </c>
      <c r="E112" s="18" t="s">
        <v>11</v>
      </c>
      <c r="F112" s="15">
        <f>=IF(E112="水上",D112,D112*-1)</f>
        <v>-620</v>
      </c>
      <c r="G112" s="16">
        <f>=IF(F112&gt;0,F112*(1-B112),F112)</f>
        <v>-620</v>
      </c>
    </row>
    <row r="113" spans="1:7">
      <c r="A113" s="11">
        <v>45720</v>
      </c>
      <c r="B113" s="12">
        <v>0.0516</v>
      </c>
      <c r="C113" s="17" t="s">
        <v>22</v>
      </c>
      <c r="D113" s="15">
        <v>1030</v>
      </c>
      <c r="E113" s="18" t="s">
        <v>13</v>
      </c>
      <c r="F113" s="15">
        <f>=IF(E113="水上",D113,D113*-1)</f>
        <v>1030</v>
      </c>
      <c r="G113" s="16">
        <f>=IF(F113&gt;0,F113*(1-B113),F113)</f>
        <v>976.852</v>
      </c>
    </row>
    <row r="114" spans="1:7">
      <c r="A114" s="11">
        <v>45720</v>
      </c>
      <c r="B114" s="12">
        <v>0.0516</v>
      </c>
      <c r="C114" s="17" t="s">
        <v>10</v>
      </c>
      <c r="D114" s="15">
        <v>1050</v>
      </c>
      <c r="E114" s="18" t="s">
        <v>13</v>
      </c>
      <c r="F114" s="15">
        <f>=IF(E114="水上",D114,D114*-1)</f>
        <v>1050</v>
      </c>
      <c r="G114" s="16">
        <f>=IF(F114&gt;0,F114*(1-B114),F114)</f>
        <v>995.82</v>
      </c>
    </row>
    <row r="115" spans="1:7">
      <c r="A115" s="11">
        <v>45720</v>
      </c>
      <c r="B115" s="12">
        <v>0.0516</v>
      </c>
      <c r="C115" s="15" t="s">
        <v>12</v>
      </c>
      <c r="D115" s="15">
        <v>15</v>
      </c>
      <c r="E115" s="18" t="s">
        <v>13</v>
      </c>
      <c r="F115" s="15">
        <f>=IF(E115="水上",D115,D115*-1)</f>
        <v>15</v>
      </c>
      <c r="G115" s="16">
        <f>=IF(F115&gt;0,F115*(1-B115),F115)</f>
        <v>14.226</v>
      </c>
    </row>
    <row r="116" spans="1:7">
      <c r="A116" s="11">
        <v>45720</v>
      </c>
      <c r="B116" s="12">
        <v>0.0516</v>
      </c>
      <c r="C116" s="17" t="s">
        <v>14</v>
      </c>
      <c r="D116" s="15">
        <v>415</v>
      </c>
      <c r="E116" s="18" t="s">
        <v>11</v>
      </c>
      <c r="F116" s="15">
        <f>=IF(E116="水上",D116,D116*-1)</f>
        <v>-415</v>
      </c>
      <c r="G116" s="16">
        <f>=IF(F116&gt;0,F116*(1-B116),F116)</f>
        <v>-415</v>
      </c>
    </row>
    <row r="117" spans="1:7">
      <c r="A117" s="11">
        <v>45720</v>
      </c>
      <c r="B117" s="12">
        <v>0.0516</v>
      </c>
      <c r="C117" s="17" t="s">
        <v>15</v>
      </c>
      <c r="D117" s="15">
        <v>50</v>
      </c>
      <c r="E117" s="18" t="s">
        <v>11</v>
      </c>
      <c r="F117" s="15">
        <f>=IF(E117="水上",D117,D117*-1)</f>
        <v>-50</v>
      </c>
      <c r="G117" s="16">
        <f>=IF(F117&gt;0,F117*(1-B117),F117)</f>
        <v>-50</v>
      </c>
    </row>
    <row r="118" spans="1:7">
      <c r="A118" s="11">
        <v>45720</v>
      </c>
      <c r="B118" s="12">
        <v>0.0516</v>
      </c>
      <c r="C118" s="17" t="s">
        <v>16</v>
      </c>
      <c r="D118" s="15">
        <v>3300</v>
      </c>
      <c r="E118" s="18" t="s">
        <v>11</v>
      </c>
      <c r="F118" s="15">
        <f>=IF(E118="水上",D118,D118*-1)</f>
        <v>-3300</v>
      </c>
      <c r="G118" s="16">
        <f>=IF(F118&gt;0,F118*(1-B118),F118)</f>
        <v>-3300</v>
      </c>
    </row>
    <row r="119" spans="1:7">
      <c r="A119" s="11">
        <v>45720</v>
      </c>
      <c r="B119" s="12">
        <v>0.0516</v>
      </c>
      <c r="C119" s="17" t="s">
        <v>17</v>
      </c>
      <c r="D119" s="15">
        <v>150</v>
      </c>
      <c r="E119" s="18" t="s">
        <v>11</v>
      </c>
      <c r="F119" s="15">
        <f>=IF(E119="水上",D119,D119*-1)</f>
        <v>-150</v>
      </c>
      <c r="G119" s="16">
        <f>=IF(F119&gt;0,F119*(1-B119),F119)</f>
        <v>-150</v>
      </c>
    </row>
    <row r="120" spans="1:7">
      <c r="A120" s="11">
        <v>45720</v>
      </c>
      <c r="B120" s="12">
        <v>0.0516</v>
      </c>
      <c r="C120" s="17" t="s">
        <v>18</v>
      </c>
      <c r="D120" s="15">
        <v>1200</v>
      </c>
      <c r="E120" s="18" t="s">
        <v>11</v>
      </c>
      <c r="F120" s="15">
        <f>=IF(E120="水上",D120,D120*-1)</f>
        <v>-1200</v>
      </c>
      <c r="G120" s="16">
        <f>=IF(F120&gt;0,F120*(1-B120),F120)</f>
        <v>-1200</v>
      </c>
    </row>
    <row r="121" spans="1:7">
      <c r="A121" s="11">
        <v>45720</v>
      </c>
      <c r="B121" s="12">
        <v>0.0516</v>
      </c>
      <c r="C121" s="17" t="s">
        <v>23</v>
      </c>
      <c r="D121" s="15">
        <v>250</v>
      </c>
      <c r="E121" s="18" t="s">
        <v>13</v>
      </c>
      <c r="F121" s="15">
        <f>=IF(E121="水上",D121,D121*-1)</f>
        <v>250</v>
      </c>
      <c r="G121" s="16">
        <f>=IF(F121&gt;0,F121*(1-B121),F121)</f>
        <v>237.1</v>
      </c>
    </row>
    <row r="122" spans="1:7">
      <c r="A122" s="11">
        <v>45720</v>
      </c>
      <c r="B122" s="12">
        <v>0.0516</v>
      </c>
      <c r="C122" s="17" t="s">
        <v>24</v>
      </c>
      <c r="D122" s="15">
        <v>2700</v>
      </c>
      <c r="E122" s="18" t="s">
        <v>13</v>
      </c>
      <c r="F122" s="15">
        <f>=IF(E122="水上",D122,D122*-1)</f>
        <v>2700</v>
      </c>
      <c r="G122" s="16">
        <f>=IF(F122&gt;0,F122*(1-B122),F122)</f>
        <v>2560.68</v>
      </c>
    </row>
    <row r="123" spans="1:7">
      <c r="A123" s="11">
        <v>45716</v>
      </c>
      <c r="B123" s="12">
        <v>0.2092</v>
      </c>
      <c r="C123" s="17" t="s">
        <v>22</v>
      </c>
      <c r="D123" s="15">
        <v>400</v>
      </c>
      <c r="E123" s="18" t="s">
        <v>13</v>
      </c>
      <c r="F123" s="15">
        <f>=IF(E123="水上",D123,D123*-1)</f>
        <v>400</v>
      </c>
      <c r="G123" s="16">
        <f>=IF(F123&gt;0,F123*(1-B123),F123)</f>
        <v>316.32</v>
      </c>
    </row>
    <row r="124" spans="1:7">
      <c r="A124" s="11">
        <v>45716</v>
      </c>
      <c r="B124" s="12">
        <v>0.2092</v>
      </c>
      <c r="C124" s="17" t="s">
        <v>10</v>
      </c>
      <c r="D124" s="15">
        <v>350</v>
      </c>
      <c r="E124" s="18" t="s">
        <v>11</v>
      </c>
      <c r="F124" s="15">
        <f>=IF(E124="水上",D124,D124*-1)</f>
        <v>-350</v>
      </c>
      <c r="G124" s="16">
        <f>=IF(F124&gt;0,F124*(1-B124),F124)</f>
        <v>-350</v>
      </c>
    </row>
    <row r="125" spans="1:7">
      <c r="A125" s="11">
        <v>45716</v>
      </c>
      <c r="B125" s="12">
        <v>0.2092</v>
      </c>
      <c r="C125" s="17" t="s">
        <v>15</v>
      </c>
      <c r="D125" s="15">
        <v>0</v>
      </c>
      <c r="E125" s="18" t="s">
        <v>9</v>
      </c>
      <c r="F125" s="15">
        <f>=IF(E125="水上",D125,D125*-1)</f>
        <v>0</v>
      </c>
      <c r="G125" s="16">
        <f>=IF(F125&gt;0,F125*(1-B125),F125)</f>
        <v>0</v>
      </c>
    </row>
    <row r="126" spans="1:7">
      <c r="A126" s="11">
        <v>45716</v>
      </c>
      <c r="B126" s="12">
        <v>0.2092</v>
      </c>
      <c r="C126" s="17" t="s">
        <v>16</v>
      </c>
      <c r="D126" s="15">
        <v>50</v>
      </c>
      <c r="E126" s="18" t="s">
        <v>13</v>
      </c>
      <c r="F126" s="15">
        <f>=IF(E126="水上",D126,D126*-1)</f>
        <v>50</v>
      </c>
      <c r="G126" s="16">
        <f>=IF(F126&gt;0,F126*(1-B126),F126)</f>
        <v>39.54</v>
      </c>
    </row>
    <row r="127" spans="1:7">
      <c r="A127" s="11">
        <v>45716</v>
      </c>
      <c r="B127" s="12">
        <v>0.2092</v>
      </c>
      <c r="C127" s="17" t="s">
        <v>17</v>
      </c>
      <c r="D127" s="15">
        <v>1070</v>
      </c>
      <c r="E127" s="18" t="s">
        <v>11</v>
      </c>
      <c r="F127" s="15">
        <f>=IF(E127="水上",D127,D127*-1)</f>
        <v>-1070</v>
      </c>
      <c r="G127" s="16">
        <f>=IF(F127&gt;0,F127*(1-B127),F127)</f>
        <v>-1070</v>
      </c>
    </row>
    <row r="128" spans="1:7">
      <c r="A128" s="11">
        <v>45716</v>
      </c>
      <c r="B128" s="12">
        <v>0.2092</v>
      </c>
      <c r="C128" s="17" t="s">
        <v>18</v>
      </c>
      <c r="D128" s="15">
        <v>500</v>
      </c>
      <c r="E128" s="18" t="s">
        <v>13</v>
      </c>
      <c r="F128" s="15">
        <f>=IF(E128="水上",D128,D128*-1)</f>
        <v>500</v>
      </c>
      <c r="G128" s="16">
        <f>=IF(F128&gt;0,F128*(1-B128),F128)</f>
        <v>395.4</v>
      </c>
    </row>
    <row r="129" spans="1:7">
      <c r="A129" s="11">
        <v>45716</v>
      </c>
      <c r="B129" s="12">
        <v>0.2092</v>
      </c>
      <c r="C129" s="17" t="s">
        <v>19</v>
      </c>
      <c r="D129" s="15">
        <v>1000</v>
      </c>
      <c r="E129" s="18" t="s">
        <v>13</v>
      </c>
      <c r="F129" s="15">
        <f>=IF(E129="水上",D129,D129*-1)</f>
        <v>1000</v>
      </c>
      <c r="G129" s="16">
        <f>=IF(F129&gt;0,F129*(1-B129),F129)</f>
        <v>790.8</v>
      </c>
    </row>
    <row r="130" spans="1:7">
      <c r="A130" s="11">
        <v>45716</v>
      </c>
      <c r="B130" s="12">
        <v>0.2092</v>
      </c>
      <c r="C130" s="17" t="s">
        <v>26</v>
      </c>
      <c r="D130" s="15">
        <v>480</v>
      </c>
      <c r="E130" s="18" t="s">
        <v>11</v>
      </c>
      <c r="F130" s="15">
        <f>=IF(E130="水上",D130,D130*-1)</f>
        <v>-480</v>
      </c>
      <c r="G130" s="16">
        <f>=IF(F130&gt;0,F130*(1-B130),F130)</f>
        <v>-480</v>
      </c>
    </row>
    <row r="131" spans="1:7">
      <c r="A131" s="11">
        <v>45714</v>
      </c>
      <c r="B131" s="12">
        <v>0.0948</v>
      </c>
      <c r="C131" s="17" t="s">
        <v>22</v>
      </c>
      <c r="D131" s="15">
        <v>300</v>
      </c>
      <c r="E131" s="18" t="s">
        <v>13</v>
      </c>
      <c r="F131" s="15">
        <f>=IF(E131="水上",D131,D131*-1)</f>
        <v>300</v>
      </c>
      <c r="G131" s="16">
        <f>=IF(F131&gt;0,F131*(1-B131),F131)</f>
        <v>271.56</v>
      </c>
    </row>
    <row r="132" spans="1:7">
      <c r="A132" s="11">
        <v>45714</v>
      </c>
      <c r="B132" s="12">
        <v>0.0948</v>
      </c>
      <c r="C132" s="17" t="s">
        <v>10</v>
      </c>
      <c r="D132" s="15">
        <v>600</v>
      </c>
      <c r="E132" s="18" t="s">
        <v>11</v>
      </c>
      <c r="F132" s="15">
        <f>=IF(E132="水上",D132,D132*-1)</f>
        <v>-600</v>
      </c>
      <c r="G132" s="16">
        <f>=IF(F132&gt;0,F132*(1-B132),F132)</f>
        <v>-600</v>
      </c>
    </row>
    <row r="133" spans="1:7">
      <c r="A133" s="11">
        <v>45714</v>
      </c>
      <c r="B133" s="12">
        <v>0.0948</v>
      </c>
      <c r="C133" s="15" t="s">
        <v>12</v>
      </c>
      <c r="D133" s="15">
        <v>520</v>
      </c>
      <c r="E133" s="18" t="s">
        <v>13</v>
      </c>
      <c r="F133" s="15">
        <f>=IF(E133="水上",D133,D133*-1)</f>
        <v>520</v>
      </c>
      <c r="G133" s="16">
        <f>=IF(F133&gt;0,F133*(1-B133),F133)</f>
        <v>470.704</v>
      </c>
    </row>
    <row r="134" spans="1:7">
      <c r="A134" s="11">
        <v>45714</v>
      </c>
      <c r="B134" s="12">
        <v>0.0948</v>
      </c>
      <c r="C134" s="15" t="s">
        <v>25</v>
      </c>
      <c r="D134" s="15">
        <v>170</v>
      </c>
      <c r="E134" s="18" t="s">
        <v>13</v>
      </c>
      <c r="F134" s="15">
        <f>=IF(E134="水上",D134,D134*-1)</f>
        <v>170</v>
      </c>
      <c r="G134" s="16">
        <f>=IF(F134&gt;0,F134*(1-B134),F134)</f>
        <v>153.884</v>
      </c>
    </row>
    <row r="135" spans="1:7">
      <c r="A135" s="11">
        <v>45714</v>
      </c>
      <c r="B135" s="12">
        <v>0.0948</v>
      </c>
      <c r="C135" s="17" t="s">
        <v>15</v>
      </c>
      <c r="D135" s="15">
        <v>150</v>
      </c>
      <c r="E135" s="18" t="s">
        <v>13</v>
      </c>
      <c r="F135" s="15">
        <f>=IF(E135="水上",D135,D135*-1)</f>
        <v>150</v>
      </c>
      <c r="G135" s="16">
        <f>=IF(F135&gt;0,F135*(1-B135),F135)</f>
        <v>135.78</v>
      </c>
    </row>
    <row r="136" spans="1:7">
      <c r="A136" s="11">
        <v>45714</v>
      </c>
      <c r="B136" s="12">
        <v>0.0948</v>
      </c>
      <c r="C136" s="17" t="s">
        <v>16</v>
      </c>
      <c r="D136" s="15">
        <v>140</v>
      </c>
      <c r="E136" s="18" t="s">
        <v>13</v>
      </c>
      <c r="F136" s="15">
        <f>=IF(E136="水上",D136,D136*-1)</f>
        <v>140</v>
      </c>
      <c r="G136" s="16">
        <f>=IF(F136&gt;0,F136*(1-B136),F136)</f>
        <v>126.728</v>
      </c>
    </row>
    <row r="137" spans="1:7">
      <c r="A137" s="11">
        <v>45714</v>
      </c>
      <c r="B137" s="12">
        <v>0.0948</v>
      </c>
      <c r="C137" s="17" t="s">
        <v>17</v>
      </c>
      <c r="D137" s="15">
        <v>70</v>
      </c>
      <c r="E137" s="18" t="s">
        <v>13</v>
      </c>
      <c r="F137" s="15">
        <f>=IF(E137="水上",D137,D137*-1)</f>
        <v>70</v>
      </c>
      <c r="G137" s="16">
        <f>=IF(F137&gt;0,F137*(1-B137),F137)</f>
        <v>63.364</v>
      </c>
    </row>
    <row r="138" spans="1:7">
      <c r="A138" s="11">
        <v>45714</v>
      </c>
      <c r="B138" s="12">
        <v>0.0948</v>
      </c>
      <c r="C138" s="17" t="s">
        <v>18</v>
      </c>
      <c r="D138" s="15">
        <v>1500</v>
      </c>
      <c r="E138" s="18" t="s">
        <v>11</v>
      </c>
      <c r="F138" s="15">
        <f>=IF(E138="水上",D138,D138*-1)</f>
        <v>-1500</v>
      </c>
      <c r="G138" s="16">
        <f>=IF(F138&gt;0,F138*(1-B138),F138)</f>
        <v>-1500</v>
      </c>
    </row>
    <row r="139" spans="1:7">
      <c r="A139" s="11">
        <v>45714</v>
      </c>
      <c r="B139" s="12">
        <v>0.0948</v>
      </c>
      <c r="C139" s="17" t="s">
        <v>23</v>
      </c>
      <c r="D139" s="15">
        <v>600</v>
      </c>
      <c r="E139" s="18" t="s">
        <v>13</v>
      </c>
      <c r="F139" s="15">
        <f>=IF(E139="水上",D139,D139*-1)</f>
        <v>600</v>
      </c>
      <c r="G139" s="16">
        <f>=IF(F139&gt;0,F139*(1-B139),F139)</f>
        <v>543.12</v>
      </c>
    </row>
    <row r="140" spans="1:7">
      <c r="A140" s="11">
        <v>45712</v>
      </c>
      <c r="B140" s="12">
        <v>0.0519</v>
      </c>
      <c r="C140" s="17" t="s">
        <v>22</v>
      </c>
      <c r="D140" s="15">
        <v>850</v>
      </c>
      <c r="E140" s="18" t="s">
        <v>11</v>
      </c>
      <c r="F140" s="15">
        <f>=IF(E140="水上",D140,D140*-1)</f>
        <v>-850</v>
      </c>
      <c r="G140" s="16">
        <f>=IF(F140&gt;0,F140*(1-B140),F140)</f>
        <v>-850</v>
      </c>
    </row>
    <row r="141" spans="1:7">
      <c r="A141" s="11">
        <v>45712</v>
      </c>
      <c r="B141" s="12">
        <v>0.0519</v>
      </c>
      <c r="C141" s="17" t="s">
        <v>10</v>
      </c>
      <c r="D141" s="15">
        <v>510</v>
      </c>
      <c r="E141" s="18" t="s">
        <v>13</v>
      </c>
      <c r="F141" s="15">
        <f>=IF(E141="水上",D141,D141*-1)</f>
        <v>510</v>
      </c>
      <c r="G141" s="16">
        <f>=IF(F141&gt;0,F141*(1-B141),F141)</f>
        <v>483.531</v>
      </c>
    </row>
    <row r="142" spans="1:7">
      <c r="A142" s="11">
        <v>45712</v>
      </c>
      <c r="B142" s="12">
        <v>0.0519</v>
      </c>
      <c r="C142" s="15" t="s">
        <v>12</v>
      </c>
      <c r="D142" s="15">
        <v>150</v>
      </c>
      <c r="E142" s="18" t="s">
        <v>13</v>
      </c>
      <c r="F142" s="15">
        <f>=IF(E142="水上",D142,D142*-1)</f>
        <v>150</v>
      </c>
      <c r="G142" s="16">
        <f>=IF(F142&gt;0,F142*(1-B142),F142)</f>
        <v>142.215</v>
      </c>
    </row>
    <row r="143" spans="1:7">
      <c r="A143" s="11">
        <v>45712</v>
      </c>
      <c r="B143" s="12">
        <v>0.0519</v>
      </c>
      <c r="C143" s="17" t="s">
        <v>21</v>
      </c>
      <c r="D143" s="15">
        <v>950</v>
      </c>
      <c r="E143" s="18" t="s">
        <v>13</v>
      </c>
      <c r="F143" s="15">
        <f>=IF(E143="水上",D143,D143*-1)</f>
        <v>950</v>
      </c>
      <c r="G143" s="16">
        <f>=IF(F143&gt;0,F143*(1-B143),F143)</f>
        <v>900.695</v>
      </c>
    </row>
    <row r="144" spans="1:7">
      <c r="A144" s="11">
        <v>45712</v>
      </c>
      <c r="B144" s="12">
        <v>0.0519</v>
      </c>
      <c r="C144" s="17" t="s">
        <v>18</v>
      </c>
      <c r="D144" s="15">
        <v>900</v>
      </c>
      <c r="E144" s="18" t="s">
        <v>11</v>
      </c>
      <c r="F144" s="15">
        <f>=IF(E144="水上",D144,D144*-1)</f>
        <v>-900</v>
      </c>
      <c r="G144" s="16">
        <f>=IF(F144&gt;0,F144*(1-B144),F144)</f>
        <v>-900</v>
      </c>
    </row>
    <row r="145" spans="1:7">
      <c r="A145" s="11">
        <v>45712</v>
      </c>
      <c r="B145" s="12">
        <v>0.0519</v>
      </c>
      <c r="C145" s="17" t="s">
        <v>20</v>
      </c>
      <c r="D145" s="15">
        <v>630</v>
      </c>
      <c r="E145" s="18" t="s">
        <v>11</v>
      </c>
      <c r="F145" s="15">
        <f>=IF(E145="水上",D145,D145*-1)</f>
        <v>-630</v>
      </c>
      <c r="G145" s="16">
        <f>=IF(F145&gt;0,F145*(1-B145),F145)</f>
        <v>-630</v>
      </c>
    </row>
    <row r="146" spans="1:7">
      <c r="A146" s="11">
        <v>45712</v>
      </c>
      <c r="B146" s="12">
        <v>0.0519</v>
      </c>
      <c r="C146" s="17" t="s">
        <v>23</v>
      </c>
      <c r="D146" s="15">
        <v>300</v>
      </c>
      <c r="E146" s="18" t="s">
        <v>11</v>
      </c>
      <c r="F146" s="15">
        <f>=IF(E146="水上",D146,D146*-1)</f>
        <v>-300</v>
      </c>
      <c r="G146" s="16">
        <f>=IF(F146&gt;0,F146*(1-B146),F146)</f>
        <v>-300</v>
      </c>
    </row>
    <row r="147" spans="1:7">
      <c r="A147" s="11">
        <v>45712</v>
      </c>
      <c r="B147" s="12">
        <v>0.0519</v>
      </c>
      <c r="C147" s="17" t="s">
        <v>19</v>
      </c>
      <c r="D147" s="15">
        <v>1070</v>
      </c>
      <c r="E147" s="18" t="s">
        <v>13</v>
      </c>
      <c r="F147" s="15">
        <f>=IF(E147="水上",D147,D147*-1)</f>
        <v>1070</v>
      </c>
      <c r="G147" s="16">
        <f>=IF(F147&gt;0,F147*(1-B147),F147)</f>
        <v>1014.467</v>
      </c>
    </row>
    <row r="148" spans="1:7">
      <c r="A148" s="11">
        <v>45709</v>
      </c>
      <c r="B148" s="12">
        <v>0.1365</v>
      </c>
      <c r="C148" s="17" t="s">
        <v>22</v>
      </c>
      <c r="D148" s="15">
        <v>100</v>
      </c>
      <c r="E148" s="18" t="s">
        <v>11</v>
      </c>
      <c r="F148" s="15">
        <f>=IF(E148="水上",D148,D148*-1)</f>
        <v>-100</v>
      </c>
      <c r="G148" s="16">
        <f>=IF(F148&gt;0,F148*(1-B148),F148)</f>
        <v>-100</v>
      </c>
    </row>
    <row r="149" spans="1:7">
      <c r="A149" s="11">
        <v>45709</v>
      </c>
      <c r="B149" s="12">
        <v>0.1365</v>
      </c>
      <c r="C149" s="17" t="s">
        <v>10</v>
      </c>
      <c r="D149" s="15">
        <v>1510</v>
      </c>
      <c r="E149" s="18" t="s">
        <v>13</v>
      </c>
      <c r="F149" s="15">
        <f>=IF(E149="水上",D149,D149*-1)</f>
        <v>1510</v>
      </c>
      <c r="G149" s="16">
        <f>=IF(F149&gt;0,F149*(1-B149),F149)</f>
        <v>1303.885</v>
      </c>
    </row>
    <row r="150" spans="1:7">
      <c r="A150" s="11">
        <v>45709</v>
      </c>
      <c r="B150" s="12">
        <v>0.1365</v>
      </c>
      <c r="C150" s="15" t="s">
        <v>12</v>
      </c>
      <c r="D150" s="15">
        <v>170</v>
      </c>
      <c r="E150" s="18" t="s">
        <v>11</v>
      </c>
      <c r="F150" s="15">
        <f>=IF(E150="水上",D150,D150*-1)</f>
        <v>-170</v>
      </c>
      <c r="G150" s="16">
        <f>=IF(F150&gt;0,F150*(1-B150),F150)</f>
        <v>-170</v>
      </c>
    </row>
    <row r="151" spans="1:7">
      <c r="A151" s="11">
        <v>45709</v>
      </c>
      <c r="B151" s="12">
        <v>0.1365</v>
      </c>
      <c r="C151" s="17" t="s">
        <v>15</v>
      </c>
      <c r="D151" s="15">
        <v>1000</v>
      </c>
      <c r="E151" s="18" t="s">
        <v>11</v>
      </c>
      <c r="F151" s="15">
        <f>=IF(E151="水上",D151,D151*-1)</f>
        <v>-1000</v>
      </c>
      <c r="G151" s="16">
        <f>=IF(F151&gt;0,F151*(1-B151),F151)</f>
        <v>-1000</v>
      </c>
    </row>
    <row r="152" spans="1:7">
      <c r="A152" s="11">
        <v>45709</v>
      </c>
      <c r="B152" s="12">
        <v>0.1365</v>
      </c>
      <c r="C152" s="17" t="s">
        <v>20</v>
      </c>
      <c r="D152" s="15">
        <v>50</v>
      </c>
      <c r="E152" s="18" t="s">
        <v>13</v>
      </c>
      <c r="F152" s="15">
        <f>=IF(E152="水上",D152,D152*-1)</f>
        <v>50</v>
      </c>
      <c r="G152" s="16">
        <f>=IF(F152&gt;0,F152*(1-B152),F152)</f>
        <v>43.175</v>
      </c>
    </row>
    <row r="153" spans="1:7">
      <c r="A153" s="11">
        <v>45709</v>
      </c>
      <c r="B153" s="12">
        <v>0.1365</v>
      </c>
      <c r="C153" s="17" t="s">
        <v>18</v>
      </c>
      <c r="D153" s="15">
        <v>290</v>
      </c>
      <c r="E153" s="18" t="s">
        <v>11</v>
      </c>
      <c r="F153" s="15">
        <f>=IF(E153="水上",D153,D153*-1)</f>
        <v>-290</v>
      </c>
      <c r="G153" s="16">
        <f>=IF(F153&gt;0,F153*(1-B153),F153)</f>
        <v>-290</v>
      </c>
    </row>
    <row r="154" spans="1:7">
      <c r="A154" s="11">
        <v>45708</v>
      </c>
      <c r="B154" s="12">
        <v>0.0695</v>
      </c>
      <c r="C154" s="17" t="s">
        <v>22</v>
      </c>
      <c r="D154" s="15">
        <v>2000</v>
      </c>
      <c r="E154" s="18" t="s">
        <v>11</v>
      </c>
      <c r="F154" s="15">
        <f>=IF(E154="水上",D154,D154*-1)</f>
        <v>-2000</v>
      </c>
      <c r="G154" s="16">
        <f>=IF(F154&gt;0,F154*(1-B154),F154)</f>
        <v>-2000</v>
      </c>
    </row>
    <row r="155" spans="1:7">
      <c r="A155" s="11">
        <v>45708</v>
      </c>
      <c r="B155" s="12">
        <v>0.0695</v>
      </c>
      <c r="C155" s="17" t="s">
        <v>10</v>
      </c>
      <c r="D155" s="15">
        <v>70</v>
      </c>
      <c r="E155" s="18" t="s">
        <v>13</v>
      </c>
      <c r="F155" s="15">
        <f>=IF(E155="水上",D155,D155*-1)</f>
        <v>70</v>
      </c>
      <c r="G155" s="16">
        <f>=IF(F155&gt;0,F155*(1-B155),F155)</f>
        <v>65.135</v>
      </c>
    </row>
    <row r="156" spans="1:7">
      <c r="A156" s="11">
        <v>45708</v>
      </c>
      <c r="B156" s="12">
        <v>0.0695</v>
      </c>
      <c r="C156" s="15" t="s">
        <v>12</v>
      </c>
      <c r="D156" s="15">
        <v>50</v>
      </c>
      <c r="E156" s="18" t="s">
        <v>13</v>
      </c>
      <c r="F156" s="15">
        <f>=IF(E156="水上",D156,D156*-1)</f>
        <v>50</v>
      </c>
      <c r="G156" s="16">
        <f>=IF(F156&gt;0,F156*(1-B156),F156)</f>
        <v>46.525</v>
      </c>
    </row>
    <row r="157" spans="1:7">
      <c r="A157" s="11">
        <v>45708</v>
      </c>
      <c r="B157" s="12">
        <v>0.0695</v>
      </c>
      <c r="C157" s="17" t="s">
        <v>14</v>
      </c>
      <c r="D157" s="15">
        <v>1775</v>
      </c>
      <c r="E157" s="18" t="s">
        <v>11</v>
      </c>
      <c r="F157" s="15">
        <f>=IF(E157="水上",D157,D157*-1)</f>
        <v>-1775</v>
      </c>
      <c r="G157" s="16">
        <f>=IF(F157&gt;0,F157*(1-B157),F157)</f>
        <v>-1775</v>
      </c>
    </row>
    <row r="158" spans="1:7">
      <c r="A158" s="11">
        <v>45708</v>
      </c>
      <c r="B158" s="12">
        <v>0.0695</v>
      </c>
      <c r="C158" s="17" t="s">
        <v>16</v>
      </c>
      <c r="D158" s="15">
        <v>850</v>
      </c>
      <c r="E158" s="18" t="s">
        <v>13</v>
      </c>
      <c r="F158" s="15">
        <f>=IF(E158="水上",D158,D158*-1)</f>
        <v>850</v>
      </c>
      <c r="G158" s="16">
        <f>=IF(F158&gt;0,F158*(1-B158),F158)</f>
        <v>790.925</v>
      </c>
    </row>
    <row r="159" spans="1:7">
      <c r="A159" s="11">
        <v>45708</v>
      </c>
      <c r="B159" s="12">
        <v>0.0695</v>
      </c>
      <c r="C159" s="17" t="s">
        <v>17</v>
      </c>
      <c r="D159" s="15">
        <v>200</v>
      </c>
      <c r="E159" s="18" t="s">
        <v>13</v>
      </c>
      <c r="F159" s="15">
        <f>=IF(E159="水上",D159,D159*-1)</f>
        <v>200</v>
      </c>
      <c r="G159" s="16">
        <f>=IF(F159&gt;0,F159*(1-B159),F159)</f>
        <v>186.1</v>
      </c>
    </row>
    <row r="160" spans="1:7">
      <c r="A160" s="11">
        <v>45708</v>
      </c>
      <c r="B160" s="12">
        <v>0.0695</v>
      </c>
      <c r="C160" s="17" t="s">
        <v>18</v>
      </c>
      <c r="D160" s="15">
        <v>1150</v>
      </c>
      <c r="E160" s="18" t="s">
        <v>13</v>
      </c>
      <c r="F160" s="15">
        <f>=IF(E160="水上",D160,D160*-1)</f>
        <v>1150</v>
      </c>
      <c r="G160" s="16">
        <f>=IF(F160&gt;0,F160*(1-B160),F160)</f>
        <v>1070.075</v>
      </c>
    </row>
    <row r="161" spans="1:7">
      <c r="A161" s="11">
        <v>45708</v>
      </c>
      <c r="B161" s="12">
        <v>0.0695</v>
      </c>
      <c r="C161" s="17" t="s">
        <v>23</v>
      </c>
      <c r="D161" s="15">
        <v>1450</v>
      </c>
      <c r="E161" s="18" t="s">
        <v>13</v>
      </c>
      <c r="F161" s="15">
        <f>=IF(E161="水上",D161,D161*-1)</f>
        <v>1450</v>
      </c>
      <c r="G161" s="16">
        <f>=IF(F161&gt;0,F161*(1-B161),F161)</f>
        <v>1349.225</v>
      </c>
    </row>
    <row r="162" spans="1:7">
      <c r="A162" s="11">
        <v>45708</v>
      </c>
      <c r="B162" s="12">
        <v>0.0695</v>
      </c>
      <c r="C162" s="17" t="s">
        <v>26</v>
      </c>
      <c r="D162" s="15">
        <v>80</v>
      </c>
      <c r="E162" s="18" t="s">
        <v>11</v>
      </c>
      <c r="F162" s="15">
        <f>=IF(E162="水上",D162,D162*-1)</f>
        <v>-80</v>
      </c>
      <c r="G162" s="16">
        <f>=IF(F162&gt;0,F162*(1-B162),F162)</f>
        <v>-80</v>
      </c>
    </row>
    <row r="163" spans="1:7">
      <c r="A163" s="11">
        <v>45706</v>
      </c>
      <c r="B163" s="12">
        <v>0.2291</v>
      </c>
      <c r="C163" s="17" t="s">
        <v>22</v>
      </c>
      <c r="D163" s="15">
        <v>180</v>
      </c>
      <c r="E163" s="18" t="s">
        <v>13</v>
      </c>
      <c r="F163" s="15">
        <f>=IF(E163="水上",D163,D163*-1)</f>
        <v>180</v>
      </c>
      <c r="G163" s="16">
        <f>=IF(F163&gt;0,F163*(1-B163),F163)</f>
        <v>138.762</v>
      </c>
    </row>
    <row r="164" spans="1:7">
      <c r="A164" s="11">
        <v>45706</v>
      </c>
      <c r="B164" s="12">
        <v>0.2291</v>
      </c>
      <c r="C164" s="17" t="s">
        <v>10</v>
      </c>
      <c r="D164" s="15">
        <v>190</v>
      </c>
      <c r="E164" s="18" t="s">
        <v>13</v>
      </c>
      <c r="F164" s="15">
        <f>=IF(E164="水上",D164,D164*-1)</f>
        <v>190</v>
      </c>
      <c r="G164" s="16">
        <f>=IF(F164&gt;0,F164*(1-B164),F164)</f>
        <v>146.471</v>
      </c>
    </row>
    <row r="165" spans="1:7">
      <c r="A165" s="11">
        <v>45706</v>
      </c>
      <c r="B165" s="12">
        <v>0.2291</v>
      </c>
      <c r="C165" s="15" t="s">
        <v>12</v>
      </c>
      <c r="D165" s="15">
        <v>440</v>
      </c>
      <c r="E165" s="18" t="s">
        <v>13</v>
      </c>
      <c r="F165" s="15">
        <f>=IF(E165="水上",D165,D165*-1)</f>
        <v>440</v>
      </c>
      <c r="G165" s="16">
        <f>=IF(F165&gt;0,F165*(1-B165),F165)</f>
        <v>339.196</v>
      </c>
    </row>
    <row r="166" spans="1:7">
      <c r="A166" s="11">
        <v>45706</v>
      </c>
      <c r="B166" s="12">
        <v>0.2291</v>
      </c>
      <c r="C166" s="15" t="s">
        <v>25</v>
      </c>
      <c r="D166" s="15">
        <v>100</v>
      </c>
      <c r="E166" s="18" t="s">
        <v>11</v>
      </c>
      <c r="F166" s="15">
        <f>=IF(E166="水上",D166,D166*-1)</f>
        <v>-100</v>
      </c>
      <c r="G166" s="16">
        <f>=IF(F166&gt;0,F166*(1-B166),F166)</f>
        <v>-100</v>
      </c>
    </row>
    <row r="167" spans="1:7">
      <c r="A167" s="11">
        <v>45706</v>
      </c>
      <c r="B167" s="12">
        <v>0.2291</v>
      </c>
      <c r="C167" s="17" t="s">
        <v>16</v>
      </c>
      <c r="D167" s="15">
        <v>50</v>
      </c>
      <c r="E167" s="18" t="s">
        <v>11</v>
      </c>
      <c r="F167" s="15">
        <f>=IF(E167="水上",D167,D167*-1)</f>
        <v>-50</v>
      </c>
      <c r="G167" s="16">
        <f>=IF(F167&gt;0,F167*(1-B167),F167)</f>
        <v>-50</v>
      </c>
    </row>
    <row r="168" spans="1:7">
      <c r="A168" s="11">
        <v>45706</v>
      </c>
      <c r="B168" s="12">
        <v>0.2291</v>
      </c>
      <c r="C168" s="17" t="s">
        <v>18</v>
      </c>
      <c r="D168" s="15">
        <v>260</v>
      </c>
      <c r="E168" s="18" t="s">
        <v>13</v>
      </c>
      <c r="F168" s="15">
        <f>=IF(E168="水上",D168,D168*-1)</f>
        <v>260</v>
      </c>
      <c r="G168" s="16">
        <f>=IF(F168&gt;0,F168*(1-B168),F168)</f>
        <v>200.434</v>
      </c>
    </row>
    <row r="169" spans="1:7">
      <c r="A169" s="11">
        <v>45706</v>
      </c>
      <c r="B169" s="12">
        <v>0.2291</v>
      </c>
      <c r="C169" s="17" t="s">
        <v>19</v>
      </c>
      <c r="D169" s="15">
        <v>950</v>
      </c>
      <c r="E169" s="18" t="s">
        <v>11</v>
      </c>
      <c r="F169" s="15">
        <f>=IF(E169="水上",D169,D169*-1)</f>
        <v>-950</v>
      </c>
      <c r="G169" s="16">
        <f>=IF(F169&gt;0,F169*(1-B169),F169)</f>
        <v>-950</v>
      </c>
    </row>
    <row r="170" spans="1:7">
      <c r="A170" s="11">
        <v>45706</v>
      </c>
      <c r="B170" s="12">
        <v>0.2291</v>
      </c>
      <c r="C170" s="17" t="s">
        <v>23</v>
      </c>
      <c r="D170" s="15">
        <v>5</v>
      </c>
      <c r="E170" s="18" t="s">
        <v>13</v>
      </c>
      <c r="F170" s="15">
        <f>=IF(E170="水上",D170,D170*-1)</f>
        <v>5</v>
      </c>
      <c r="G170" s="16">
        <f>=IF(F170&gt;0,F170*(1-B170),F170)</f>
        <v>3.8545</v>
      </c>
    </row>
    <row r="171" spans="1:7">
      <c r="A171" s="11">
        <v>45705</v>
      </c>
      <c r="B171" s="12">
        <v>0.0462</v>
      </c>
      <c r="C171" s="17" t="s">
        <v>22</v>
      </c>
      <c r="D171" s="15">
        <v>740</v>
      </c>
      <c r="E171" s="18" t="s">
        <v>13</v>
      </c>
      <c r="F171" s="15">
        <f>=IF(E171="水上",D171,D171*-1)</f>
        <v>740</v>
      </c>
      <c r="G171" s="16">
        <f>=IF(F171&gt;0,F171*(1-B171),F171)</f>
        <v>705.812</v>
      </c>
    </row>
    <row r="172" spans="1:7">
      <c r="A172" s="11">
        <v>45705</v>
      </c>
      <c r="B172" s="12">
        <v>0.0462</v>
      </c>
      <c r="C172" s="17" t="s">
        <v>10</v>
      </c>
      <c r="D172" s="15">
        <v>610</v>
      </c>
      <c r="E172" s="18" t="s">
        <v>11</v>
      </c>
      <c r="F172" s="15">
        <f>=IF(E172="水上",D172,D172*-1)</f>
        <v>-610</v>
      </c>
      <c r="G172" s="16">
        <f>=IF(F172&gt;0,F172*(1-B172),F172)</f>
        <v>-610</v>
      </c>
    </row>
    <row r="173" spans="1:7">
      <c r="A173" s="11">
        <v>45705</v>
      </c>
      <c r="B173" s="12">
        <v>0.0462</v>
      </c>
      <c r="C173" s="15" t="s">
        <v>25</v>
      </c>
      <c r="D173" s="15">
        <v>550</v>
      </c>
      <c r="E173" s="18" t="s">
        <v>13</v>
      </c>
      <c r="F173" s="15">
        <f>=IF(E173="水上",D173,D173*-1)</f>
        <v>550</v>
      </c>
      <c r="G173" s="16">
        <f>=IF(F173&gt;0,F173*(1-B173),F173)</f>
        <v>524.59</v>
      </c>
    </row>
    <row r="174" spans="1:7">
      <c r="A174" s="11">
        <v>45705</v>
      </c>
      <c r="B174" s="12">
        <v>0.0462</v>
      </c>
      <c r="C174" s="17" t="s">
        <v>16</v>
      </c>
      <c r="D174" s="15">
        <v>2200</v>
      </c>
      <c r="E174" s="18" t="s">
        <v>11</v>
      </c>
      <c r="F174" s="15">
        <f>=IF(E174="水上",D174,D174*-1)</f>
        <v>-2200</v>
      </c>
      <c r="G174" s="16">
        <f>=IF(F174&gt;0,F174*(1-B174),F174)</f>
        <v>-2200</v>
      </c>
    </row>
    <row r="175" spans="1:7">
      <c r="A175" s="11">
        <v>45705</v>
      </c>
      <c r="B175" s="12">
        <v>0.0462</v>
      </c>
      <c r="C175" s="17" t="s">
        <v>17</v>
      </c>
      <c r="D175" s="15">
        <v>20</v>
      </c>
      <c r="E175" s="18" t="s">
        <v>13</v>
      </c>
      <c r="F175" s="15">
        <f>=IF(E175="水上",D175,D175*-1)</f>
        <v>20</v>
      </c>
      <c r="G175" s="16">
        <f>=IF(F175&gt;0,F175*(1-B175),F175)</f>
        <v>19.076</v>
      </c>
    </row>
    <row r="176" spans="1:7">
      <c r="A176" s="11">
        <v>45705</v>
      </c>
      <c r="B176" s="12">
        <v>0.0462</v>
      </c>
      <c r="C176" s="17" t="s">
        <v>18</v>
      </c>
      <c r="D176" s="15">
        <v>2850</v>
      </c>
      <c r="E176" s="18" t="s">
        <v>13</v>
      </c>
      <c r="F176" s="15">
        <f>=IF(E176="水上",D176,D176*-1)</f>
        <v>2850</v>
      </c>
      <c r="G176" s="16">
        <f>=IF(F176&gt;0,F176*(1-B176),F176)</f>
        <v>2718.33</v>
      </c>
    </row>
    <row r="177" spans="1:7">
      <c r="A177" s="11">
        <v>45705</v>
      </c>
      <c r="B177" s="12">
        <v>0.0462</v>
      </c>
      <c r="C177" s="17" t="s">
        <v>24</v>
      </c>
      <c r="D177" s="15">
        <v>1500</v>
      </c>
      <c r="E177" s="18" t="s">
        <v>11</v>
      </c>
      <c r="F177" s="15">
        <f>=IF(E177="水上",D177,D177*-1)</f>
        <v>-1500</v>
      </c>
      <c r="G177" s="16">
        <f>=IF(F177&gt;0,F177*(1-B177),F177)</f>
        <v>-1500</v>
      </c>
    </row>
    <row r="178" spans="1:7">
      <c r="A178" s="11">
        <v>45702</v>
      </c>
      <c r="B178" s="12">
        <v>0.0748</v>
      </c>
      <c r="C178" s="17" t="s">
        <v>22</v>
      </c>
      <c r="D178" s="15">
        <v>700</v>
      </c>
      <c r="E178" s="18" t="s">
        <v>13</v>
      </c>
      <c r="F178" s="15">
        <f>=IF(E178="水上",D178,D178*-1)</f>
        <v>700</v>
      </c>
      <c r="G178" s="16">
        <f>=IF(F178&gt;0,F178*(1-B178),F178)</f>
        <v>647.64</v>
      </c>
    </row>
    <row r="179" spans="1:7">
      <c r="A179" s="11">
        <v>45702</v>
      </c>
      <c r="B179" s="12">
        <v>0.0748</v>
      </c>
      <c r="C179" s="17" t="s">
        <v>10</v>
      </c>
      <c r="D179" s="15">
        <v>0</v>
      </c>
      <c r="E179" s="18" t="s">
        <v>9</v>
      </c>
      <c r="F179" s="15">
        <f>=IF(E179="水上",D179,D179*-1)</f>
        <v>0</v>
      </c>
      <c r="G179" s="16">
        <f>=IF(F179&gt;0,F179*(1-B179),F179)</f>
        <v>0</v>
      </c>
    </row>
    <row r="180" spans="1:7">
      <c r="A180" s="11">
        <v>45702</v>
      </c>
      <c r="B180" s="12">
        <v>0.0748</v>
      </c>
      <c r="C180" s="15" t="s">
        <v>25</v>
      </c>
      <c r="D180" s="15">
        <v>240</v>
      </c>
      <c r="E180" s="18" t="s">
        <v>13</v>
      </c>
      <c r="F180" s="15">
        <f>=IF(E180="水上",D180,D180*-1)</f>
        <v>240</v>
      </c>
      <c r="G180" s="16">
        <f>=IF(F180&gt;0,F180*(1-B180),F180)</f>
        <v>222.048</v>
      </c>
    </row>
    <row r="181" spans="1:7">
      <c r="A181" s="11">
        <v>45702</v>
      </c>
      <c r="B181" s="12">
        <v>0.0748</v>
      </c>
      <c r="C181" s="17" t="s">
        <v>16</v>
      </c>
      <c r="D181" s="15">
        <v>980</v>
      </c>
      <c r="E181" s="18" t="s">
        <v>11</v>
      </c>
      <c r="F181" s="15">
        <f>=IF(E181="水上",D181,D181*-1)</f>
        <v>-980</v>
      </c>
      <c r="G181" s="16">
        <f>=IF(F181&gt;0,F181*(1-B181),F181)</f>
        <v>-980</v>
      </c>
    </row>
    <row r="182" spans="1:7">
      <c r="A182" s="11">
        <v>45702</v>
      </c>
      <c r="B182" s="12">
        <v>0.0748</v>
      </c>
      <c r="C182" s="17" t="s">
        <v>18</v>
      </c>
      <c r="D182" s="15">
        <v>1400</v>
      </c>
      <c r="E182" s="18" t="s">
        <v>13</v>
      </c>
      <c r="F182" s="15">
        <f>=IF(E182="水上",D182,D182*-1)</f>
        <v>1400</v>
      </c>
      <c r="G182" s="16">
        <f>=IF(F182&gt;0,F182*(1-B182),F182)</f>
        <v>1295.28</v>
      </c>
    </row>
    <row r="183" spans="1:7">
      <c r="A183" s="11">
        <v>45702</v>
      </c>
      <c r="B183" s="12">
        <v>0.0748</v>
      </c>
      <c r="C183" s="17" t="s">
        <v>19</v>
      </c>
      <c r="D183" s="15">
        <v>750</v>
      </c>
      <c r="E183" s="18" t="s">
        <v>11</v>
      </c>
      <c r="F183" s="15">
        <f>=IF(E183="水上",D183,D183*-1)</f>
        <v>-750</v>
      </c>
      <c r="G183" s="16">
        <f>=IF(F183&gt;0,F183*(1-B183),F183)</f>
        <v>-750</v>
      </c>
    </row>
    <row r="184" spans="1:7">
      <c r="A184" s="11">
        <v>45702</v>
      </c>
      <c r="B184" s="12">
        <v>0.0748</v>
      </c>
      <c r="C184" s="17" t="s">
        <v>23</v>
      </c>
      <c r="D184" s="15">
        <v>610</v>
      </c>
      <c r="E184" s="18" t="s">
        <v>11</v>
      </c>
      <c r="F184" s="15">
        <f>=IF(E184="水上",D184,D184*-1)</f>
        <v>-610</v>
      </c>
      <c r="G184" s="16">
        <f>=IF(F184&gt;0,F184*(1-B184),F184)</f>
        <v>-610</v>
      </c>
    </row>
    <row r="185" spans="1:7">
      <c r="A185" s="11">
        <v>45701</v>
      </c>
      <c r="B185" s="12">
        <v>0.0709</v>
      </c>
      <c r="C185" s="17" t="s">
        <v>22</v>
      </c>
      <c r="D185" s="15">
        <v>650</v>
      </c>
      <c r="E185" s="18" t="s">
        <v>11</v>
      </c>
      <c r="F185" s="15">
        <f>=IF(E185="水上",D185,D185*-1)</f>
        <v>-650</v>
      </c>
      <c r="G185" s="16">
        <f>=IF(F185&gt;0,F185*(1-B185),F185)</f>
        <v>-650</v>
      </c>
    </row>
    <row r="186" spans="1:7">
      <c r="A186" s="11">
        <v>45701</v>
      </c>
      <c r="B186" s="12">
        <v>0.0709</v>
      </c>
      <c r="C186" s="17" t="s">
        <v>10</v>
      </c>
      <c r="D186" s="15">
        <v>1150</v>
      </c>
      <c r="E186" s="18" t="s">
        <v>13</v>
      </c>
      <c r="F186" s="15">
        <f>=IF(E186="水上",D186,D186*-1)</f>
        <v>1150</v>
      </c>
      <c r="G186" s="16">
        <f>=IF(F186&gt;0,F186*(1-B186),F186)</f>
        <v>1068.465</v>
      </c>
    </row>
    <row r="187" spans="1:7">
      <c r="A187" s="11">
        <v>45701</v>
      </c>
      <c r="B187" s="12">
        <v>0.0709</v>
      </c>
      <c r="C187" s="15" t="s">
        <v>12</v>
      </c>
      <c r="D187" s="15">
        <v>1100</v>
      </c>
      <c r="E187" s="18" t="s">
        <v>13</v>
      </c>
      <c r="F187" s="15">
        <f>=IF(E187="水上",D187,D187*-1)</f>
        <v>1100</v>
      </c>
      <c r="G187" s="16">
        <f>=IF(F187&gt;0,F187*(1-B187),F187)</f>
        <v>1022.01</v>
      </c>
    </row>
    <row r="188" spans="1:7">
      <c r="A188" s="11">
        <v>45701</v>
      </c>
      <c r="B188" s="12">
        <v>0.0709</v>
      </c>
      <c r="C188" s="17" t="s">
        <v>16</v>
      </c>
      <c r="D188" s="15">
        <v>700</v>
      </c>
      <c r="E188" s="18" t="s">
        <v>13</v>
      </c>
      <c r="F188" s="15">
        <f>=IF(E188="水上",D188,D188*-1)</f>
        <v>700</v>
      </c>
      <c r="G188" s="16">
        <f>=IF(F188&gt;0,F188*(1-B188),F188)</f>
        <v>650.37</v>
      </c>
    </row>
    <row r="189" spans="1:7">
      <c r="A189" s="11">
        <v>45701</v>
      </c>
      <c r="B189" s="12">
        <v>0.0709</v>
      </c>
      <c r="C189" s="17" t="s">
        <v>17</v>
      </c>
      <c r="D189" s="15">
        <v>0</v>
      </c>
      <c r="E189" s="18" t="s">
        <v>9</v>
      </c>
      <c r="F189" s="15">
        <f>=IF(E189="水上",D189,D189*-1)</f>
        <v>0</v>
      </c>
      <c r="G189" s="16">
        <f>=IF(F189&gt;0,F189*(1-B189),F189)</f>
        <v>0</v>
      </c>
    </row>
    <row r="190" spans="1:7">
      <c r="A190" s="11">
        <v>45701</v>
      </c>
      <c r="B190" s="12">
        <v>0.0709</v>
      </c>
      <c r="C190" s="17" t="s">
        <v>18</v>
      </c>
      <c r="D190" s="15">
        <v>850</v>
      </c>
      <c r="E190" s="18" t="s">
        <v>11</v>
      </c>
      <c r="F190" s="15">
        <f>=IF(E190="水上",D190,D190*-1)</f>
        <v>-850</v>
      </c>
      <c r="G190" s="16">
        <f>=IF(F190&gt;0,F190*(1-B190),F190)</f>
        <v>-850</v>
      </c>
    </row>
    <row r="191" spans="1:7">
      <c r="A191" s="11">
        <v>45701</v>
      </c>
      <c r="B191" s="12">
        <v>0.0709</v>
      </c>
      <c r="C191" s="17" t="s">
        <v>19</v>
      </c>
      <c r="D191" s="15">
        <v>1100</v>
      </c>
      <c r="E191" s="18" t="s">
        <v>11</v>
      </c>
      <c r="F191" s="15">
        <f>=IF(E191="水上",D191,D191*-1)</f>
        <v>-1100</v>
      </c>
      <c r="G191" s="16">
        <f>=IF(F191&gt;0,F191*(1-B191),F191)</f>
        <v>-1100</v>
      </c>
    </row>
    <row r="192" spans="1:7">
      <c r="A192" s="11">
        <v>45701</v>
      </c>
      <c r="B192" s="12">
        <v>0.0709</v>
      </c>
      <c r="C192" s="17" t="s">
        <v>24</v>
      </c>
      <c r="D192" s="15">
        <v>420</v>
      </c>
      <c r="E192" s="18" t="s">
        <v>11</v>
      </c>
      <c r="F192" s="15">
        <f>=IF(E192="水上",D192,D192*-1)</f>
        <v>-420</v>
      </c>
      <c r="G192" s="16">
        <f>=IF(F192&gt;0,F192*(1-B192),F192)</f>
        <v>-420</v>
      </c>
    </row>
    <row r="193" spans="1:7">
      <c r="A193" s="11">
        <v>45699</v>
      </c>
      <c r="B193" s="12">
        <v>0.0779</v>
      </c>
      <c r="C193" s="17" t="s">
        <v>22</v>
      </c>
      <c r="D193" s="15">
        <v>1470</v>
      </c>
      <c r="E193" s="18" t="s">
        <v>11</v>
      </c>
      <c r="F193" s="15">
        <f>=IF(E193="水上",D193,D193*-1)</f>
        <v>-1470</v>
      </c>
      <c r="G193" s="16">
        <f>=IF(F193&gt;0,F193*(1-B193),F193)</f>
        <v>-1470</v>
      </c>
    </row>
    <row r="194" spans="1:7">
      <c r="A194" s="11">
        <v>45699</v>
      </c>
      <c r="B194" s="12">
        <v>0.0779</v>
      </c>
      <c r="C194" s="17" t="s">
        <v>10</v>
      </c>
      <c r="D194" s="15">
        <v>10</v>
      </c>
      <c r="E194" s="18" t="s">
        <v>13</v>
      </c>
      <c r="F194" s="15">
        <f>=IF(E194="水上",D194,D194*-1)</f>
        <v>10</v>
      </c>
      <c r="G194" s="16">
        <f>=IF(F194&gt;0,F194*(1-B194),F194)</f>
        <v>9.221</v>
      </c>
    </row>
    <row r="195" spans="1:7">
      <c r="A195" s="11">
        <v>45699</v>
      </c>
      <c r="B195" s="12">
        <v>0.0779</v>
      </c>
      <c r="C195" s="15" t="s">
        <v>25</v>
      </c>
      <c r="D195" s="15">
        <v>1400</v>
      </c>
      <c r="E195" s="18" t="s">
        <v>13</v>
      </c>
      <c r="F195" s="15">
        <f>=IF(E195="水上",D195,D195*-1)</f>
        <v>1400</v>
      </c>
      <c r="G195" s="16">
        <f>=IF(F195&gt;0,F195*(1-B195),F195)</f>
        <v>1290.94</v>
      </c>
    </row>
    <row r="196" spans="1:7">
      <c r="A196" s="11">
        <v>45699</v>
      </c>
      <c r="B196" s="12">
        <v>0.0779</v>
      </c>
      <c r="C196" s="17" t="s">
        <v>15</v>
      </c>
      <c r="D196" s="15">
        <v>800</v>
      </c>
      <c r="E196" s="18" t="s">
        <v>11</v>
      </c>
      <c r="F196" s="15">
        <f>=IF(E196="水上",D196,D196*-1)</f>
        <v>-800</v>
      </c>
      <c r="G196" s="16">
        <f>=IF(F196&gt;0,F196*(1-B196),F196)</f>
        <v>-800</v>
      </c>
    </row>
    <row r="197" spans="1:7">
      <c r="A197" s="11">
        <v>45699</v>
      </c>
      <c r="B197" s="12">
        <v>0.0779</v>
      </c>
      <c r="C197" s="17" t="s">
        <v>18</v>
      </c>
      <c r="D197" s="15">
        <v>100</v>
      </c>
      <c r="E197" s="18" t="s">
        <v>13</v>
      </c>
      <c r="F197" s="15">
        <f>=IF(E197="水上",D197,D197*-1)</f>
        <v>100</v>
      </c>
      <c r="G197" s="16">
        <f>=IF(F197&gt;0,F197*(1-B197),F197)</f>
        <v>92.21</v>
      </c>
    </row>
    <row r="198" spans="1:7">
      <c r="A198" s="11">
        <v>45699</v>
      </c>
      <c r="B198" s="12">
        <v>0.0779</v>
      </c>
      <c r="C198" s="17" t="s">
        <v>16</v>
      </c>
      <c r="D198" s="15">
        <v>360</v>
      </c>
      <c r="E198" s="18" t="s">
        <v>11</v>
      </c>
      <c r="F198" s="15">
        <f>=IF(E198="水上",D198,D198*-1)</f>
        <v>-360</v>
      </c>
      <c r="G198" s="16">
        <f>=IF(F198&gt;0,F198*(1-B198),F198)</f>
        <v>-360</v>
      </c>
    </row>
    <row r="199" spans="1:7">
      <c r="A199" s="11">
        <v>45699</v>
      </c>
      <c r="B199" s="12">
        <v>0.0779</v>
      </c>
      <c r="C199" s="17" t="s">
        <v>23</v>
      </c>
      <c r="D199" s="15">
        <v>1000</v>
      </c>
      <c r="E199" s="18" t="s">
        <v>13</v>
      </c>
      <c r="F199" s="15">
        <f>=IF(E199="水上",D199,D199*-1)</f>
        <v>1000</v>
      </c>
      <c r="G199" s="16">
        <f>=IF(F199&gt;0,F199*(1-B199),F199)</f>
        <v>922.1</v>
      </c>
    </row>
    <row r="200" spans="1:7">
      <c r="A200" s="11">
        <v>45699</v>
      </c>
      <c r="B200" s="12">
        <v>0.0779</v>
      </c>
      <c r="C200" s="17" t="s">
        <v>26</v>
      </c>
      <c r="D200" s="15">
        <v>100</v>
      </c>
      <c r="E200" s="18" t="s">
        <v>13</v>
      </c>
      <c r="F200" s="15">
        <f>=IF(E200="水上",D200,D200*-1)</f>
        <v>100</v>
      </c>
      <c r="G200" s="16">
        <f>=IF(F200&gt;0,F200*(1-B200),F200)</f>
        <v>92.21</v>
      </c>
    </row>
    <row r="201" spans="1:7">
      <c r="A201" s="11">
        <v>45698</v>
      </c>
      <c r="B201" s="12">
        <v>0.0815</v>
      </c>
      <c r="C201" s="17" t="s">
        <v>22</v>
      </c>
      <c r="D201" s="15">
        <v>460</v>
      </c>
      <c r="E201" s="18" t="s">
        <v>13</v>
      </c>
      <c r="F201" s="15">
        <f>=IF(E201="水上",D201,D201*-1)</f>
        <v>460</v>
      </c>
      <c r="G201" s="16">
        <f>=IF(F201&gt;0,F201*(1-B201),F201)</f>
        <v>422.51</v>
      </c>
    </row>
    <row r="202" spans="1:7">
      <c r="A202" s="11">
        <v>45698</v>
      </c>
      <c r="B202" s="12">
        <v>0.0815</v>
      </c>
      <c r="C202" s="17" t="s">
        <v>10</v>
      </c>
      <c r="D202" s="15">
        <v>700</v>
      </c>
      <c r="E202" s="18" t="s">
        <v>13</v>
      </c>
      <c r="F202" s="15">
        <f>=IF(E202="水上",D202,D202*-1)</f>
        <v>700</v>
      </c>
      <c r="G202" s="16">
        <f>=IF(F202&gt;0,F202*(1-B202),F202)</f>
        <v>642.95</v>
      </c>
    </row>
    <row r="203" spans="1:7">
      <c r="A203" s="11">
        <v>45698</v>
      </c>
      <c r="B203" s="12">
        <v>0.0815</v>
      </c>
      <c r="C203" s="15" t="s">
        <v>12</v>
      </c>
      <c r="D203" s="15">
        <v>1760</v>
      </c>
      <c r="E203" s="18" t="s">
        <v>13</v>
      </c>
      <c r="F203" s="15">
        <f>=IF(E203="水上",D203,D203*-1)</f>
        <v>1760</v>
      </c>
      <c r="G203" s="16">
        <f>=IF(F203&gt;0,F203*(1-B203),F203)</f>
        <v>1616.56</v>
      </c>
    </row>
    <row r="204" spans="1:7">
      <c r="A204" s="11">
        <v>45698</v>
      </c>
      <c r="B204" s="12">
        <v>0.0815</v>
      </c>
      <c r="C204" s="15" t="s">
        <v>25</v>
      </c>
      <c r="D204" s="15">
        <v>500</v>
      </c>
      <c r="E204" s="18" t="s">
        <v>13</v>
      </c>
      <c r="F204" s="15">
        <f>=IF(E204="水上",D204,D204*-1)</f>
        <v>500</v>
      </c>
      <c r="G204" s="16">
        <f>=IF(F204&gt;0,F204*(1-B204),F204)</f>
        <v>459.25</v>
      </c>
    </row>
    <row r="205" spans="1:7">
      <c r="A205" s="11">
        <v>45698</v>
      </c>
      <c r="B205" s="12">
        <v>0.0815</v>
      </c>
      <c r="C205" s="17" t="s">
        <v>16</v>
      </c>
      <c r="D205" s="15">
        <v>2500</v>
      </c>
      <c r="E205" s="18" t="s">
        <v>11</v>
      </c>
      <c r="F205" s="15">
        <f>=IF(E205="水上",D205,D205*-1)</f>
        <v>-2500</v>
      </c>
      <c r="G205" s="16">
        <f>=IF(F205&gt;0,F205*(1-B205),F205)</f>
        <v>-2500</v>
      </c>
    </row>
    <row r="206" spans="1:7">
      <c r="A206" s="11">
        <v>45698</v>
      </c>
      <c r="B206" s="12">
        <v>0.0815</v>
      </c>
      <c r="C206" s="17" t="s">
        <v>18</v>
      </c>
      <c r="D206" s="15">
        <v>590</v>
      </c>
      <c r="E206" s="18" t="s">
        <v>11</v>
      </c>
      <c r="F206" s="15">
        <f>=IF(E206="水上",D206,D206*-1)</f>
        <v>-590</v>
      </c>
      <c r="G206" s="16">
        <f>=IF(F206&gt;0,F206*(1-B206),F206)</f>
        <v>-590</v>
      </c>
    </row>
    <row r="207" spans="1:7">
      <c r="A207" s="11">
        <v>45698</v>
      </c>
      <c r="B207" s="12">
        <v>0.0815</v>
      </c>
      <c r="C207" s="22" t="s">
        <v>19</v>
      </c>
      <c r="D207" s="15">
        <v>70</v>
      </c>
      <c r="E207" s="18" t="s">
        <v>11</v>
      </c>
      <c r="F207" s="15">
        <f>=IF(E207="水上",D207,D207*-1)</f>
        <v>-70</v>
      </c>
      <c r="G207" s="16">
        <f>=IF(F207&gt;0,F207*(1-B207),F207)</f>
        <v>-70</v>
      </c>
    </row>
    <row r="208" spans="1:7">
      <c r="A208" s="11">
        <v>45698</v>
      </c>
      <c r="B208" s="12">
        <v>0.0815</v>
      </c>
      <c r="C208" s="17" t="s">
        <v>23</v>
      </c>
      <c r="D208" s="15">
        <v>300</v>
      </c>
      <c r="E208" s="18" t="s">
        <v>11</v>
      </c>
      <c r="F208" s="15">
        <f>=IF(E208="水上",D208,D208*-1)</f>
        <v>-300</v>
      </c>
      <c r="G208" s="16">
        <f>=IF(F208&gt;0,F208*(1-B208),F208)</f>
        <v>-300</v>
      </c>
    </row>
    <row r="209" spans="1:7">
      <c r="A209" s="11">
        <v>45695</v>
      </c>
      <c r="B209" s="12">
        <v>0.0581</v>
      </c>
      <c r="C209" s="17" t="s">
        <v>22</v>
      </c>
      <c r="D209" s="15">
        <v>650</v>
      </c>
      <c r="E209" s="18" t="s">
        <v>11</v>
      </c>
      <c r="F209" s="15">
        <f>=IF(E209="水上",D209,D209*-1)</f>
        <v>-650</v>
      </c>
      <c r="G209" s="16">
        <f>=IF(F209&gt;0,F209*(1-B209),F209)</f>
        <v>-650</v>
      </c>
    </row>
    <row r="210" spans="1:7">
      <c r="A210" s="11">
        <v>45695</v>
      </c>
      <c r="B210" s="12">
        <v>0.0581</v>
      </c>
      <c r="C210" s="17" t="s">
        <v>10</v>
      </c>
      <c r="D210" s="15">
        <v>215</v>
      </c>
      <c r="E210" s="18" t="s">
        <v>11</v>
      </c>
      <c r="F210" s="15">
        <f>=IF(E210="水上",D210,D210*-1)</f>
        <v>-215</v>
      </c>
      <c r="G210" s="16">
        <f>=IF(F210&gt;0,F210*(1-B210),F210)</f>
        <v>-215</v>
      </c>
    </row>
    <row r="211" spans="1:7">
      <c r="A211" s="11">
        <v>45695</v>
      </c>
      <c r="B211" s="12">
        <v>0.0581</v>
      </c>
      <c r="C211" s="15" t="s">
        <v>12</v>
      </c>
      <c r="D211" s="15">
        <v>1400</v>
      </c>
      <c r="E211" s="18" t="s">
        <v>11</v>
      </c>
      <c r="F211" s="15">
        <f>=IF(E211="水上",D211,D211*-1)</f>
        <v>-1400</v>
      </c>
      <c r="G211" s="16">
        <f>=IF(F211&gt;0,F211*(1-B211),F211)</f>
        <v>-1400</v>
      </c>
    </row>
    <row r="212" spans="1:7">
      <c r="A212" s="11">
        <v>45695</v>
      </c>
      <c r="B212" s="12">
        <v>0.0581</v>
      </c>
      <c r="C212" s="17" t="s">
        <v>16</v>
      </c>
      <c r="D212" s="15">
        <v>970</v>
      </c>
      <c r="E212" s="18" t="s">
        <v>11</v>
      </c>
      <c r="F212" s="15">
        <f>=IF(E212="水上",D212,D212*-1)</f>
        <v>-970</v>
      </c>
      <c r="G212" s="16">
        <f>=IF(F212&gt;0,F212*(1-B212),F212)</f>
        <v>-970</v>
      </c>
    </row>
    <row r="213" spans="1:7">
      <c r="A213" s="11">
        <v>45695</v>
      </c>
      <c r="B213" s="12">
        <v>0.0581</v>
      </c>
      <c r="C213" s="17" t="s">
        <v>18</v>
      </c>
      <c r="D213" s="15">
        <v>3450</v>
      </c>
      <c r="E213" s="18" t="s">
        <v>13</v>
      </c>
      <c r="F213" s="15">
        <f>=IF(E213="水上",D213,D213*-1)</f>
        <v>3450</v>
      </c>
      <c r="G213" s="16">
        <f>=IF(F213&gt;0,F213*(1-B213),F213)</f>
        <v>3249.555</v>
      </c>
    </row>
    <row r="214" spans="1:7">
      <c r="A214" s="11">
        <v>45695</v>
      </c>
      <c r="B214" s="12">
        <v>0.0581</v>
      </c>
      <c r="C214" s="22" t="s">
        <v>19</v>
      </c>
      <c r="D214" s="15">
        <v>640</v>
      </c>
      <c r="E214" s="18" t="s">
        <v>11</v>
      </c>
      <c r="F214" s="15">
        <f>=IF(E214="水上",D214,D214*-1)</f>
        <v>-640</v>
      </c>
      <c r="G214" s="16">
        <f>=IF(F214&gt;0,F214*(1-B214),F214)</f>
        <v>-640</v>
      </c>
    </row>
    <row r="215" spans="1:7">
      <c r="A215" s="11">
        <v>45695</v>
      </c>
      <c r="B215" s="12">
        <v>0.0581</v>
      </c>
      <c r="C215" s="17" t="s">
        <v>23</v>
      </c>
      <c r="D215" s="15">
        <v>350</v>
      </c>
      <c r="E215" s="18" t="s">
        <v>13</v>
      </c>
      <c r="F215" s="15">
        <f>=IF(E215="水上",D215,D215*-1)</f>
        <v>350</v>
      </c>
      <c r="G215" s="16">
        <f>=IF(F215&gt;0,F215*(1-B215),F215)</f>
        <v>329.665</v>
      </c>
    </row>
    <row r="216" spans="1:7">
      <c r="A216" s="11">
        <v>45693</v>
      </c>
      <c r="B216" s="12">
        <v>0</v>
      </c>
      <c r="C216" s="17" t="s">
        <v>22</v>
      </c>
      <c r="D216" s="15">
        <v>950</v>
      </c>
      <c r="E216" s="18" t="s">
        <v>11</v>
      </c>
      <c r="F216" s="15">
        <f>=IF(E216="水上",D216,D216*-1)</f>
        <v>-950</v>
      </c>
      <c r="G216" s="16">
        <f>=IF(F216&gt;0,F216*(1-B216),F216)</f>
        <v>-950</v>
      </c>
    </row>
    <row r="217" spans="1:7">
      <c r="A217" s="11">
        <v>45693</v>
      </c>
      <c r="B217" s="12">
        <v>0</v>
      </c>
      <c r="C217" s="17" t="s">
        <v>10</v>
      </c>
      <c r="D217" s="15">
        <v>700</v>
      </c>
      <c r="E217" s="18" t="s">
        <v>13</v>
      </c>
      <c r="F217" s="15">
        <f>=IF(E217="水上",D217,D217*-1)</f>
        <v>700</v>
      </c>
      <c r="G217" s="16">
        <f>=IF(F217&gt;0,F217*(1-B217),F217)</f>
        <v>700</v>
      </c>
    </row>
    <row r="218" spans="1:7">
      <c r="A218" s="11">
        <v>45693</v>
      </c>
      <c r="B218" s="12">
        <v>0</v>
      </c>
      <c r="C218" s="17" t="s">
        <v>16</v>
      </c>
      <c r="D218" s="15">
        <v>450</v>
      </c>
      <c r="E218" s="18" t="s">
        <v>11</v>
      </c>
      <c r="F218" s="15">
        <f>=IF(E218="水上",D218,D218*-1)</f>
        <v>-450</v>
      </c>
      <c r="G218" s="16">
        <f>=IF(F218&gt;0,F218*(1-B218),F218)</f>
        <v>-450</v>
      </c>
    </row>
    <row r="219" spans="1:7">
      <c r="A219" s="11">
        <v>45693</v>
      </c>
      <c r="B219" s="12">
        <v>0</v>
      </c>
      <c r="C219" s="17" t="s">
        <v>18</v>
      </c>
      <c r="D219" s="15">
        <v>100</v>
      </c>
      <c r="E219" s="18" t="s">
        <v>11</v>
      </c>
      <c r="F219" s="15">
        <f>=IF(E219="水上",D219,D219*-1)</f>
        <v>-100</v>
      </c>
      <c r="G219" s="16">
        <f>=IF(F219&gt;0,F219*(1-B219),F219)</f>
        <v>-100</v>
      </c>
    </row>
    <row r="220" spans="1:7">
      <c r="A220" s="11">
        <v>45693</v>
      </c>
      <c r="B220" s="12">
        <v>0</v>
      </c>
      <c r="C220" s="17" t="s">
        <v>19</v>
      </c>
      <c r="D220" s="15">
        <v>750</v>
      </c>
      <c r="E220" s="18" t="s">
        <v>13</v>
      </c>
      <c r="F220" s="15">
        <f>=IF(E220="水上",D220,D220*-1)</f>
        <v>750</v>
      </c>
      <c r="G220" s="16">
        <f>=IF(F220&gt;0,F220*(1-B220),F220)</f>
        <v>750</v>
      </c>
    </row>
    <row r="221" spans="1:7">
      <c r="A221" s="11">
        <v>45693</v>
      </c>
      <c r="B221" s="12">
        <v>0</v>
      </c>
      <c r="C221" s="17" t="s">
        <v>23</v>
      </c>
      <c r="D221" s="15">
        <v>50</v>
      </c>
      <c r="E221" s="18" t="s">
        <v>13</v>
      </c>
      <c r="F221" s="15">
        <f>=IF(E221="水上",D221,D221*-1)</f>
        <v>50</v>
      </c>
      <c r="G221" s="16">
        <f>=IF(F221&gt;0,F221*(1-B221),F221)</f>
        <v>50</v>
      </c>
    </row>
    <row r="222" spans="1:7">
      <c r="A222" s="11">
        <v>45674</v>
      </c>
      <c r="B222" s="12">
        <v>0.0725</v>
      </c>
      <c r="C222" s="17" t="s">
        <v>10</v>
      </c>
      <c r="D222" s="15">
        <v>430</v>
      </c>
      <c r="E222" s="18" t="s">
        <v>13</v>
      </c>
      <c r="F222" s="15">
        <f>=IF(E222="水上",D222,D222*-1)</f>
        <v>430</v>
      </c>
      <c r="G222" s="16">
        <f>=IF(F222&gt;0,F222*(1-B222),F222)</f>
        <v>398.825</v>
      </c>
    </row>
    <row r="223" spans="1:7">
      <c r="A223" s="11">
        <v>45674</v>
      </c>
      <c r="B223" s="12">
        <v>0.0725</v>
      </c>
      <c r="C223" s="23" t="s">
        <v>25</v>
      </c>
      <c r="D223" s="15">
        <v>520</v>
      </c>
      <c r="E223" s="18" t="s">
        <v>13</v>
      </c>
      <c r="F223" s="15">
        <f>=IF(E223="水上",D223,D223*-1)</f>
        <v>520</v>
      </c>
      <c r="G223" s="16">
        <f>=IF(F223&gt;0,F223*(1-B223),F223)</f>
        <v>482.3</v>
      </c>
    </row>
    <row r="224" spans="1:7">
      <c r="A224" s="11">
        <v>45674</v>
      </c>
      <c r="B224" s="12">
        <v>0.0725</v>
      </c>
      <c r="C224" s="17" t="s">
        <v>14</v>
      </c>
      <c r="D224" s="15">
        <v>740</v>
      </c>
      <c r="E224" s="18" t="s">
        <v>13</v>
      </c>
      <c r="F224" s="15">
        <f>=IF(E224="水上",D224,D224*-1)</f>
        <v>740</v>
      </c>
      <c r="G224" s="16">
        <f>=IF(F224&gt;0,F224*(1-B224),F224)</f>
        <v>686.35</v>
      </c>
    </row>
    <row r="225" spans="1:7">
      <c r="A225" s="11">
        <v>45674</v>
      </c>
      <c r="B225" s="12">
        <v>0.0725</v>
      </c>
      <c r="C225" s="17" t="s">
        <v>15</v>
      </c>
      <c r="D225" s="15">
        <v>1240</v>
      </c>
      <c r="E225" s="18" t="s">
        <v>13</v>
      </c>
      <c r="F225" s="15">
        <f>=IF(E225="水上",D225,D225*-1)</f>
        <v>1240</v>
      </c>
      <c r="G225" s="16">
        <f>=IF(F225&gt;0,F225*(1-B225),F225)</f>
        <v>1150.1</v>
      </c>
    </row>
    <row r="226" spans="1:7">
      <c r="A226" s="11">
        <v>45674</v>
      </c>
      <c r="B226" s="12">
        <v>0.0725</v>
      </c>
      <c r="C226" s="17" t="s">
        <v>16</v>
      </c>
      <c r="D226" s="15">
        <v>1600</v>
      </c>
      <c r="E226" s="18" t="s">
        <v>13</v>
      </c>
      <c r="F226" s="15">
        <f>=IF(E226="水上",D226,D226*-1)</f>
        <v>1600</v>
      </c>
      <c r="G226" s="16">
        <f>=IF(F226&gt;0,F226*(1-B226),F226)</f>
        <v>1484</v>
      </c>
    </row>
    <row r="227" spans="1:7">
      <c r="A227" s="11">
        <v>45674</v>
      </c>
      <c r="B227" s="12">
        <v>0.0725</v>
      </c>
      <c r="C227" s="17" t="s">
        <v>18</v>
      </c>
      <c r="D227" s="15">
        <v>3000</v>
      </c>
      <c r="E227" s="18" t="s">
        <v>11</v>
      </c>
      <c r="F227" s="15">
        <f>=IF(E227="水上",D227,D227*-1)</f>
        <v>-3000</v>
      </c>
      <c r="G227" s="16">
        <f>=IF(F227&gt;0,F227*(1-B227),F227)</f>
        <v>-3000</v>
      </c>
    </row>
    <row r="228" spans="1:7">
      <c r="A228" s="11">
        <v>45674</v>
      </c>
      <c r="B228" s="12">
        <v>0.0725</v>
      </c>
      <c r="C228" s="17" t="s">
        <v>19</v>
      </c>
      <c r="D228" s="15">
        <v>500</v>
      </c>
      <c r="E228" s="18" t="s">
        <v>11</v>
      </c>
      <c r="F228" s="15">
        <f>=IF(E228="水上",D228,D228*-1)</f>
        <v>-500</v>
      </c>
      <c r="G228" s="16">
        <f>=IF(F228&gt;0,F228*(1-B228),F228)</f>
        <v>-500</v>
      </c>
    </row>
    <row r="229" spans="1:7">
      <c r="A229" s="11">
        <v>45674</v>
      </c>
      <c r="B229" s="12">
        <v>0.0725</v>
      </c>
      <c r="C229" s="17" t="s">
        <v>26</v>
      </c>
      <c r="D229" s="15">
        <v>450</v>
      </c>
      <c r="E229" s="18" t="s">
        <v>13</v>
      </c>
      <c r="F229" s="15">
        <f>=IF(E229="水上",D229,D229*-1)</f>
        <v>450</v>
      </c>
      <c r="G229" s="16">
        <f>=IF(F229&gt;0,F229*(1-B229),F229)</f>
        <v>417.375</v>
      </c>
    </row>
    <row r="230" spans="1:7">
      <c r="A230" s="11">
        <v>45674</v>
      </c>
      <c r="B230" s="12">
        <v>0.0725</v>
      </c>
      <c r="C230" s="17" t="s">
        <v>24</v>
      </c>
      <c r="D230" s="15">
        <v>1560</v>
      </c>
      <c r="E230" s="18" t="s">
        <v>11</v>
      </c>
      <c r="F230" s="15">
        <f>=IF(E230="水上",D230,D230*-1)</f>
        <v>-1560</v>
      </c>
      <c r="G230" s="16">
        <f>=IF(F230&gt;0,F230*(1-B230),F230)</f>
        <v>-1560</v>
      </c>
    </row>
    <row r="231" spans="1:7">
      <c r="A231" s="11">
        <v>45673</v>
      </c>
      <c r="B231" s="12">
        <v>0.066</v>
      </c>
      <c r="C231" s="17" t="s">
        <v>22</v>
      </c>
      <c r="D231" s="15">
        <v>130</v>
      </c>
      <c r="E231" s="18" t="s">
        <v>13</v>
      </c>
      <c r="F231" s="15">
        <f>=IF(E231="水上",D231,D231*-1)</f>
        <v>130</v>
      </c>
      <c r="G231" s="16">
        <f>=IF(F231&gt;0,F231*(1-B231),F231)</f>
        <v>121.42</v>
      </c>
    </row>
    <row r="232" spans="1:7">
      <c r="A232" s="11">
        <v>45673</v>
      </c>
      <c r="B232" s="12">
        <v>0.066</v>
      </c>
      <c r="C232" s="17" t="s">
        <v>10</v>
      </c>
      <c r="D232" s="15">
        <v>200</v>
      </c>
      <c r="E232" s="18" t="s">
        <v>13</v>
      </c>
      <c r="F232" s="15">
        <f>=IF(E232="水上",D232,D232*-1)</f>
        <v>200</v>
      </c>
      <c r="G232" s="16">
        <f>=IF(F232&gt;0,F232*(1-B232),F232)</f>
        <v>186.8</v>
      </c>
    </row>
    <row r="233" spans="1:7">
      <c r="A233" s="11">
        <v>45673</v>
      </c>
      <c r="B233" s="12">
        <v>0.066</v>
      </c>
      <c r="C233" s="17" t="s">
        <v>14</v>
      </c>
      <c r="D233" s="15">
        <v>980</v>
      </c>
      <c r="E233" s="18" t="s">
        <v>11</v>
      </c>
      <c r="F233" s="15">
        <f>=IF(E233="水上",D233,D233*-1)</f>
        <v>-980</v>
      </c>
      <c r="G233" s="16">
        <f>=IF(F233&gt;0,F233*(1-B233),F233)</f>
        <v>-980</v>
      </c>
    </row>
    <row r="234" spans="1:7">
      <c r="A234" s="11">
        <v>45673</v>
      </c>
      <c r="B234" s="12">
        <v>0.066</v>
      </c>
      <c r="C234" s="17" t="s">
        <v>15</v>
      </c>
      <c r="D234" s="15">
        <v>730</v>
      </c>
      <c r="E234" s="18" t="s">
        <v>13</v>
      </c>
      <c r="F234" s="15">
        <f>=IF(E234="水上",D234,D234*-1)</f>
        <v>730</v>
      </c>
      <c r="G234" s="16">
        <f>=IF(F234&gt;0,F234*(1-B234),F234)</f>
        <v>681.82</v>
      </c>
    </row>
    <row r="235" spans="1:7">
      <c r="A235" s="11">
        <v>45673</v>
      </c>
      <c r="B235" s="12">
        <v>0.066</v>
      </c>
      <c r="C235" s="17" t="s">
        <v>18</v>
      </c>
      <c r="D235" s="15">
        <v>400</v>
      </c>
      <c r="E235" s="18" t="s">
        <v>13</v>
      </c>
      <c r="F235" s="15">
        <f>=IF(E235="水上",D235,D235*-1)</f>
        <v>400</v>
      </c>
      <c r="G235" s="16">
        <f>=IF(F235&gt;0,F235*(1-B235),F235)</f>
        <v>373.6</v>
      </c>
    </row>
    <row r="236" spans="1:7">
      <c r="A236" s="11">
        <v>45673</v>
      </c>
      <c r="B236" s="12">
        <v>0.066</v>
      </c>
      <c r="C236" s="17" t="s">
        <v>23</v>
      </c>
      <c r="D236" s="15">
        <v>200</v>
      </c>
      <c r="E236" s="18" t="s">
        <v>13</v>
      </c>
      <c r="F236" s="15">
        <f>=IF(E236="水上",D236,D236*-1)</f>
        <v>200</v>
      </c>
      <c r="G236" s="16">
        <f>=IF(F236&gt;0,F236*(1-B236),F236)</f>
        <v>186.8</v>
      </c>
    </row>
    <row r="237" spans="1:7">
      <c r="A237" s="11">
        <v>45673</v>
      </c>
      <c r="B237" s="12">
        <v>0.066</v>
      </c>
      <c r="C237" s="17" t="s">
        <v>24</v>
      </c>
      <c r="D237" s="15">
        <v>900</v>
      </c>
      <c r="E237" s="18" t="s">
        <v>11</v>
      </c>
      <c r="F237" s="15">
        <f>=IF(E237="水上",D237,D237*-1)</f>
        <v>-900</v>
      </c>
      <c r="G237" s="16">
        <f>=IF(F237&gt;0,F237*(1-B237),F237)</f>
        <v>-900</v>
      </c>
    </row>
    <row r="238" spans="1:7">
      <c r="A238" s="11">
        <v>45672</v>
      </c>
      <c r="B238" s="12">
        <v>0</v>
      </c>
      <c r="C238" s="17" t="s">
        <v>22</v>
      </c>
      <c r="D238" s="15">
        <v>200</v>
      </c>
      <c r="E238" s="18" t="s">
        <v>13</v>
      </c>
      <c r="F238" s="15">
        <f>=IF(E238="水上",D238,D238*-1)</f>
        <v>200</v>
      </c>
      <c r="G238" s="16">
        <f>=IF(F238&gt;0,F238*(1-B238),F238)</f>
        <v>200</v>
      </c>
    </row>
    <row r="239" spans="1:7">
      <c r="A239" s="11">
        <v>45672</v>
      </c>
      <c r="B239" s="12">
        <v>0</v>
      </c>
      <c r="C239" s="17" t="s">
        <v>10</v>
      </c>
      <c r="D239" s="15">
        <v>50</v>
      </c>
      <c r="E239" s="18" t="s">
        <v>13</v>
      </c>
      <c r="F239" s="15">
        <f>=IF(E239="水上",D239,D239*-1)</f>
        <v>50</v>
      </c>
      <c r="G239" s="16">
        <f>=IF(F239&gt;0,F239*(1-B239),F239)</f>
        <v>50</v>
      </c>
    </row>
    <row r="240" spans="1:7">
      <c r="A240" s="11">
        <v>45672</v>
      </c>
      <c r="B240" s="12">
        <v>0</v>
      </c>
      <c r="C240" s="15" t="s">
        <v>25</v>
      </c>
      <c r="D240" s="15">
        <v>500</v>
      </c>
      <c r="E240" s="18" t="s">
        <v>13</v>
      </c>
      <c r="F240" s="15">
        <f>=IF(E240="水上",D240,D240*-1)</f>
        <v>500</v>
      </c>
      <c r="G240" s="16">
        <f>=IF(F240&gt;0,F240*(1-B240),F240)</f>
        <v>500</v>
      </c>
    </row>
    <row r="241" spans="1:7">
      <c r="A241" s="11">
        <v>45672</v>
      </c>
      <c r="B241" s="12">
        <v>0</v>
      </c>
      <c r="C241" s="17" t="s">
        <v>14</v>
      </c>
      <c r="D241" s="15">
        <v>1810</v>
      </c>
      <c r="E241" s="18" t="s">
        <v>11</v>
      </c>
      <c r="F241" s="15">
        <f>=IF(E241="水上",D241,D241*-1)</f>
        <v>-1810</v>
      </c>
      <c r="G241" s="16">
        <f>=IF(F241&gt;0,F241*(1-B241),F241)</f>
        <v>-1810</v>
      </c>
    </row>
    <row r="242" spans="1:7">
      <c r="A242" s="11">
        <v>45672</v>
      </c>
      <c r="B242" s="12">
        <v>0</v>
      </c>
      <c r="C242" s="17" t="s">
        <v>15</v>
      </c>
      <c r="D242" s="15">
        <v>2080</v>
      </c>
      <c r="E242" s="18" t="s">
        <v>11</v>
      </c>
      <c r="F242" s="15">
        <f>=IF(E242="水上",D242,D242*-1)</f>
        <v>-2080</v>
      </c>
      <c r="G242" s="16">
        <f>=IF(F242&gt;0,F242*(1-B242),F242)</f>
        <v>-2080</v>
      </c>
    </row>
    <row r="243" spans="1:7">
      <c r="A243" s="11">
        <v>45672</v>
      </c>
      <c r="B243" s="12">
        <v>0</v>
      </c>
      <c r="C243" s="17" t="s">
        <v>16</v>
      </c>
      <c r="D243" s="15">
        <v>2080</v>
      </c>
      <c r="E243" s="18" t="s">
        <v>13</v>
      </c>
      <c r="F243" s="15">
        <f>=IF(E243="水上",D243,D243*-1)</f>
        <v>2080</v>
      </c>
      <c r="G243" s="16">
        <f>=IF(F243&gt;0,F243*(1-B243),F243)</f>
        <v>2080</v>
      </c>
    </row>
    <row r="244" spans="1:7">
      <c r="A244" s="11">
        <v>45672</v>
      </c>
      <c r="B244" s="12">
        <v>0</v>
      </c>
      <c r="C244" s="15" t="s">
        <v>29</v>
      </c>
      <c r="D244" s="15">
        <v>1550</v>
      </c>
      <c r="E244" s="18" t="s">
        <v>13</v>
      </c>
      <c r="F244" s="15">
        <f>=IF(E244="水上",D244,D244*-1)</f>
        <v>1550</v>
      </c>
      <c r="G244" s="16">
        <f>=IF(F244&gt;0,F244*(1-B244),F244)</f>
        <v>1550</v>
      </c>
    </row>
    <row r="245" spans="1:7">
      <c r="A245" s="11">
        <v>45672</v>
      </c>
      <c r="B245" s="12">
        <v>0</v>
      </c>
      <c r="C245" s="17" t="s">
        <v>18</v>
      </c>
      <c r="D245" s="15">
        <v>0</v>
      </c>
      <c r="E245" s="18" t="s">
        <v>9</v>
      </c>
      <c r="F245" s="15">
        <f>=IF(E245="水上",D245,D245*-1)</f>
        <v>0</v>
      </c>
      <c r="G245" s="16">
        <f>=IF(F245&gt;0,F245*(1-B245),F245)</f>
        <v>0</v>
      </c>
    </row>
    <row r="246" spans="1:7">
      <c r="A246" s="11">
        <v>45672</v>
      </c>
      <c r="B246" s="12">
        <v>0</v>
      </c>
      <c r="C246" s="17" t="s">
        <v>19</v>
      </c>
      <c r="D246" s="15">
        <v>1700</v>
      </c>
      <c r="E246" s="18" t="s">
        <v>13</v>
      </c>
      <c r="F246" s="15">
        <f>=IF(E246="水上",D246,D246*-1)</f>
        <v>1700</v>
      </c>
      <c r="G246" s="16">
        <f>=IF(F246&gt;0,F246*(1-B246),F246)</f>
        <v>1700</v>
      </c>
    </row>
    <row r="247" spans="1:7">
      <c r="A247" s="11">
        <v>45672</v>
      </c>
      <c r="B247" s="12">
        <v>0</v>
      </c>
      <c r="C247" s="17" t="s">
        <v>23</v>
      </c>
      <c r="D247" s="15">
        <v>1200</v>
      </c>
      <c r="E247" s="18" t="s">
        <v>11</v>
      </c>
      <c r="F247" s="15">
        <f>=IF(E247="水上",D247,D247*-1)</f>
        <v>-1200</v>
      </c>
      <c r="G247" s="16">
        <f>=IF(F247&gt;0,F247*(1-B247),F247)</f>
        <v>-1200</v>
      </c>
    </row>
    <row r="248" spans="1:7">
      <c r="A248" s="11">
        <v>45672</v>
      </c>
      <c r="B248" s="12">
        <v>0</v>
      </c>
      <c r="C248" s="17" t="s">
        <v>26</v>
      </c>
      <c r="D248" s="15">
        <v>100</v>
      </c>
      <c r="E248" s="18" t="s">
        <v>13</v>
      </c>
      <c r="F248" s="15">
        <f>=IF(E248="水上",D248,D248*-1)</f>
        <v>100</v>
      </c>
      <c r="G248" s="16">
        <f>=IF(F248&gt;0,F248*(1-B248),F248)</f>
        <v>100</v>
      </c>
    </row>
    <row r="249" spans="1:7">
      <c r="A249" s="11">
        <v>45672</v>
      </c>
      <c r="B249" s="12">
        <v>0</v>
      </c>
      <c r="C249" s="15" t="s">
        <v>30</v>
      </c>
      <c r="D249" s="15">
        <v>1330</v>
      </c>
      <c r="E249" s="18" t="s">
        <v>11</v>
      </c>
      <c r="F249" s="15">
        <f>=IF(E249="水上",D249,D249*-1)</f>
        <v>-1330</v>
      </c>
      <c r="G249" s="16">
        <f>=IF(F249&gt;0,F249*(1-B249),F249)</f>
        <v>-1330</v>
      </c>
    </row>
    <row r="250" spans="1:7">
      <c r="A250" s="11">
        <v>45671</v>
      </c>
      <c r="B250" s="12">
        <v>0.1075</v>
      </c>
      <c r="C250" s="17" t="s">
        <v>22</v>
      </c>
      <c r="D250" s="15">
        <v>500</v>
      </c>
      <c r="E250" s="18" t="s">
        <v>11</v>
      </c>
      <c r="F250" s="15">
        <f>=IF(E250="水上",D250,D250*-1)</f>
        <v>-500</v>
      </c>
      <c r="G250" s="16">
        <f>=IF(F250&gt;0,F250*(1-B250),F250)</f>
        <v>-500</v>
      </c>
    </row>
    <row r="251" spans="1:7">
      <c r="A251" s="11">
        <v>45671</v>
      </c>
      <c r="B251" s="12">
        <v>0.1075</v>
      </c>
      <c r="C251" s="17" t="s">
        <v>10</v>
      </c>
      <c r="D251" s="15">
        <v>470</v>
      </c>
      <c r="E251" s="18" t="s">
        <v>13</v>
      </c>
      <c r="F251" s="15">
        <f>=IF(E251="水上",D251,D251*-1)</f>
        <v>470</v>
      </c>
      <c r="G251" s="16">
        <f>=IF(F251&gt;0,F251*(1-B251),F251)</f>
        <v>419.475</v>
      </c>
    </row>
    <row r="252" spans="1:7">
      <c r="A252" s="11">
        <v>45671</v>
      </c>
      <c r="B252" s="12">
        <v>0.1075</v>
      </c>
      <c r="C252" s="15" t="s">
        <v>12</v>
      </c>
      <c r="D252" s="15">
        <v>1050</v>
      </c>
      <c r="E252" s="18" t="s">
        <v>13</v>
      </c>
      <c r="F252" s="15">
        <f>=IF(E252="水上",D252,D252*-1)</f>
        <v>1050</v>
      </c>
      <c r="G252" s="16">
        <f>=IF(F252&gt;0,F252*(1-B252),F252)</f>
        <v>937.125</v>
      </c>
    </row>
    <row r="253" spans="1:7">
      <c r="A253" s="11">
        <v>45671</v>
      </c>
      <c r="B253" s="12">
        <v>0.1075</v>
      </c>
      <c r="C253" s="17" t="s">
        <v>14</v>
      </c>
      <c r="D253" s="15">
        <v>400</v>
      </c>
      <c r="E253" s="18" t="s">
        <v>13</v>
      </c>
      <c r="F253" s="15">
        <f>=IF(E253="水上",D253,D253*-1)</f>
        <v>400</v>
      </c>
      <c r="G253" s="16">
        <f>=IF(F253&gt;0,F253*(1-B253),F253)</f>
        <v>357</v>
      </c>
    </row>
    <row r="254" spans="1:7">
      <c r="A254" s="11">
        <v>45671</v>
      </c>
      <c r="B254" s="12">
        <v>0.1075</v>
      </c>
      <c r="C254" s="17" t="s">
        <v>15</v>
      </c>
      <c r="D254" s="15">
        <v>900</v>
      </c>
      <c r="E254" s="18" t="s">
        <v>11</v>
      </c>
      <c r="F254" s="15">
        <f>=IF(E254="水上",D254,D254*-1)</f>
        <v>-900</v>
      </c>
      <c r="G254" s="16">
        <f>=IF(F254&gt;0,F254*(1-B254),F254)</f>
        <v>-900</v>
      </c>
    </row>
    <row r="255" spans="1:7">
      <c r="A255" s="11">
        <v>45671</v>
      </c>
      <c r="B255" s="12">
        <v>0.1075</v>
      </c>
      <c r="C255" s="17" t="s">
        <v>16</v>
      </c>
      <c r="D255" s="15">
        <v>550</v>
      </c>
      <c r="E255" s="18" t="s">
        <v>13</v>
      </c>
      <c r="F255" s="15">
        <f>=IF(E255="水上",D255,D255*-1)</f>
        <v>550</v>
      </c>
      <c r="G255" s="16">
        <f>=IF(F255&gt;0,F255*(1-B255),F255)</f>
        <v>490.875</v>
      </c>
    </row>
    <row r="256" spans="1:7">
      <c r="A256" s="11">
        <v>45671</v>
      </c>
      <c r="B256" s="12">
        <v>0.1075</v>
      </c>
      <c r="C256" s="17" t="s">
        <v>17</v>
      </c>
      <c r="D256" s="15">
        <v>105</v>
      </c>
      <c r="E256" s="18" t="s">
        <v>13</v>
      </c>
      <c r="F256" s="15">
        <f>=IF(E256="水上",D256,D256*-1)</f>
        <v>105</v>
      </c>
      <c r="G256" s="16">
        <f>=IF(F256&gt;0,F256*(1-B256),F256)</f>
        <v>93.7125</v>
      </c>
    </row>
    <row r="257" spans="1:7">
      <c r="A257" s="11">
        <v>45671</v>
      </c>
      <c r="B257" s="12">
        <v>0.1075</v>
      </c>
      <c r="C257" s="17" t="s">
        <v>18</v>
      </c>
      <c r="D257" s="15">
        <v>105</v>
      </c>
      <c r="E257" s="18" t="s">
        <v>13</v>
      </c>
      <c r="F257" s="15">
        <f>=IF(E257="水上",D257,D257*-1)</f>
        <v>105</v>
      </c>
      <c r="G257" s="16">
        <f>=IF(F257&gt;0,F257*(1-B257),F257)</f>
        <v>93.7125</v>
      </c>
    </row>
    <row r="258" spans="1:7">
      <c r="A258" s="11">
        <v>45671</v>
      </c>
      <c r="B258" s="12">
        <v>0.1075</v>
      </c>
      <c r="C258" s="17" t="s">
        <v>19</v>
      </c>
      <c r="D258" s="15">
        <v>1455</v>
      </c>
      <c r="E258" s="18" t="s">
        <v>11</v>
      </c>
      <c r="F258" s="15">
        <f>=IF(E258="水上",D258,D258*-1)</f>
        <v>-1455</v>
      </c>
      <c r="G258" s="16">
        <f>=IF(F258&gt;0,F258*(1-B258),F258)</f>
        <v>-1455</v>
      </c>
    </row>
    <row r="259" spans="1:7">
      <c r="A259" s="11">
        <v>45670</v>
      </c>
      <c r="B259" s="12">
        <v>0.0706</v>
      </c>
      <c r="C259" s="17" t="s">
        <v>22</v>
      </c>
      <c r="D259" s="15">
        <v>1000</v>
      </c>
      <c r="E259" s="18" t="s">
        <v>11</v>
      </c>
      <c r="F259" s="15">
        <f>=IF(E259="水上",D259,D259*-1)</f>
        <v>-1000</v>
      </c>
      <c r="G259" s="16">
        <f>=IF(F259&gt;0,F259*(1-B259),F259)</f>
        <v>-1000</v>
      </c>
    </row>
    <row r="260" spans="1:7">
      <c r="A260" s="11">
        <v>45670</v>
      </c>
      <c r="B260" s="12">
        <v>0.0706</v>
      </c>
      <c r="C260" s="17" t="s">
        <v>10</v>
      </c>
      <c r="D260" s="15">
        <v>250</v>
      </c>
      <c r="E260" s="18" t="s">
        <v>11</v>
      </c>
      <c r="F260" s="15">
        <f>=IF(E260="水上",D260,D260*-1)</f>
        <v>-250</v>
      </c>
      <c r="G260" s="16">
        <f>=IF(F260&gt;0,F260*(1-B260),F260)</f>
        <v>-250</v>
      </c>
    </row>
    <row r="261" spans="1:7">
      <c r="A261" s="11">
        <v>45670</v>
      </c>
      <c r="B261" s="12">
        <v>0.0706</v>
      </c>
      <c r="C261" s="15" t="s">
        <v>12</v>
      </c>
      <c r="D261" s="15">
        <v>770</v>
      </c>
      <c r="E261" s="18" t="s">
        <v>11</v>
      </c>
      <c r="F261" s="15">
        <f>=IF(E261="水上",D261,D261*-1)</f>
        <v>-770</v>
      </c>
      <c r="G261" s="16">
        <f>=IF(F261&gt;0,F261*(1-B261),F261)</f>
        <v>-770</v>
      </c>
    </row>
    <row r="262" spans="1:7">
      <c r="A262" s="11">
        <v>45670</v>
      </c>
      <c r="B262" s="12">
        <v>0.0706</v>
      </c>
      <c r="C262" s="17" t="s">
        <v>23</v>
      </c>
      <c r="D262" s="15">
        <v>1940</v>
      </c>
      <c r="E262" s="18" t="s">
        <v>13</v>
      </c>
      <c r="F262" s="15">
        <f>=IF(E262="水上",D262,D262*-1)</f>
        <v>1940</v>
      </c>
      <c r="G262" s="16">
        <f>=IF(F262&gt;0,F262*(1-B262),F262)</f>
        <v>1803.036</v>
      </c>
    </row>
    <row r="263" spans="1:7">
      <c r="A263" s="11">
        <v>45670</v>
      </c>
      <c r="B263" s="12">
        <v>0.0706</v>
      </c>
      <c r="C263" s="17" t="s">
        <v>16</v>
      </c>
      <c r="D263" s="15">
        <v>600</v>
      </c>
      <c r="E263" s="18" t="s">
        <v>13</v>
      </c>
      <c r="F263" s="15">
        <f>=IF(E263="水上",D263,D263*-1)</f>
        <v>600</v>
      </c>
      <c r="G263" s="16">
        <f>=IF(F263&gt;0,F263*(1-B263),F263)</f>
        <v>557.64</v>
      </c>
    </row>
    <row r="264" spans="1:7">
      <c r="A264" s="11">
        <v>45670</v>
      </c>
      <c r="B264" s="12">
        <v>0.0706</v>
      </c>
      <c r="C264" s="17" t="s">
        <v>17</v>
      </c>
      <c r="D264" s="15">
        <v>100</v>
      </c>
      <c r="E264" s="18" t="s">
        <v>13</v>
      </c>
      <c r="F264" s="15">
        <f>=IF(E264="水上",D264,D264*-1)</f>
        <v>100</v>
      </c>
      <c r="G264" s="16">
        <f>=IF(F264&gt;0,F264*(1-B264),F264)</f>
        <v>92.94</v>
      </c>
    </row>
    <row r="265" spans="1:7">
      <c r="A265" s="11">
        <v>45670</v>
      </c>
      <c r="B265" s="12">
        <v>0.0706</v>
      </c>
      <c r="C265" s="17" t="s">
        <v>18</v>
      </c>
      <c r="D265" s="15">
        <v>100</v>
      </c>
      <c r="E265" s="18" t="s">
        <v>13</v>
      </c>
      <c r="F265" s="15">
        <f>=IF(E265="水上",D265,D265*-1)</f>
        <v>100</v>
      </c>
      <c r="G265" s="16">
        <f>=IF(F265&gt;0,F265*(1-B265),F265)</f>
        <v>92.94</v>
      </c>
    </row>
    <row r="266" spans="1:7">
      <c r="A266" s="11">
        <v>45670</v>
      </c>
      <c r="B266" s="12">
        <v>0.0706</v>
      </c>
      <c r="C266" s="17" t="s">
        <v>19</v>
      </c>
      <c r="D266" s="15">
        <v>800</v>
      </c>
      <c r="E266" s="18" t="s">
        <v>11</v>
      </c>
      <c r="F266" s="15">
        <f>=IF(E266="水上",D266,D266*-1)</f>
        <v>-800</v>
      </c>
      <c r="G266" s="16">
        <f>=IF(F266&gt;0,F266*(1-B266),F266)</f>
        <v>-800</v>
      </c>
    </row>
    <row r="267" spans="1:11">
      <c r="A267" s="11">
        <v>45668</v>
      </c>
      <c r="B267" s="12">
        <v>0.1575</v>
      </c>
      <c r="C267" s="17" t="s">
        <v>22</v>
      </c>
      <c r="D267" s="15">
        <v>0</v>
      </c>
      <c r="E267" s="18" t="s">
        <v>9</v>
      </c>
      <c r="F267" s="15">
        <f>=IF(E267="水上",D267,D267*-1)</f>
        <v>0</v>
      </c>
      <c r="G267" s="16">
        <f>=IF(F267&gt;0,F267*(1-B267),F267)</f>
        <v>0</v>
      </c>
      <c r="J267">
        <f>=COUNTIF(C267:C396,"=lixi")</f>
        <v>0</v>
      </c>
      <c r="K267">
        <f>=COUNTIFS(C267:C396,"=lixi",E267:E396,"=水上")</f>
        <v>0</v>
      </c>
    </row>
    <row r="268" spans="1:7">
      <c r="A268" s="11">
        <v>45668</v>
      </c>
      <c r="B268" s="12">
        <v>0.1575</v>
      </c>
      <c r="C268" s="17" t="s">
        <v>10</v>
      </c>
      <c r="D268" s="15">
        <v>600</v>
      </c>
      <c r="E268" s="18" t="s">
        <v>13</v>
      </c>
      <c r="F268" s="15">
        <f>=IF(E268="水上",D268,D268*-1)</f>
        <v>600</v>
      </c>
      <c r="G268" s="16">
        <f>=IF(F268&gt;0,F268*(1-B268),F268)</f>
        <v>505.5</v>
      </c>
    </row>
    <row r="269" spans="1:7">
      <c r="A269" s="11">
        <v>45668</v>
      </c>
      <c r="B269" s="12">
        <v>0.1575</v>
      </c>
      <c r="C269" s="15" t="s">
        <v>12</v>
      </c>
      <c r="D269" s="15">
        <v>770</v>
      </c>
      <c r="E269" s="18" t="s">
        <v>13</v>
      </c>
      <c r="F269" s="15">
        <f>=IF(E269="水上",D269,D269*-1)</f>
        <v>770</v>
      </c>
      <c r="G269" s="16">
        <f>=IF(F269&gt;0,F269*(1-B269),F269)</f>
        <v>648.725</v>
      </c>
    </row>
    <row r="270" spans="1:7">
      <c r="A270" s="11">
        <v>45668</v>
      </c>
      <c r="B270" s="12">
        <v>0.1575</v>
      </c>
      <c r="C270" s="17" t="s">
        <v>14</v>
      </c>
      <c r="D270" s="15">
        <v>230</v>
      </c>
      <c r="E270" s="18" t="s">
        <v>13</v>
      </c>
      <c r="F270" s="15">
        <f>=IF(E270="水上",D270,D270*-1)</f>
        <v>230</v>
      </c>
      <c r="G270" s="16">
        <f>=IF(F270&gt;0,F270*(1-B270),F270)</f>
        <v>193.775</v>
      </c>
    </row>
    <row r="271" spans="1:7">
      <c r="A271" s="11">
        <v>45668</v>
      </c>
      <c r="B271" s="12">
        <v>0.1575</v>
      </c>
      <c r="C271" s="17" t="s">
        <v>17</v>
      </c>
      <c r="D271" s="15">
        <v>800</v>
      </c>
      <c r="E271" s="18" t="s">
        <v>11</v>
      </c>
      <c r="F271" s="15">
        <f>=IF(E271="水上",D271,D271*-1)</f>
        <v>-800</v>
      </c>
      <c r="G271" s="16">
        <f>=IF(F271&gt;0,F271*(1-B271),F271)</f>
        <v>-800</v>
      </c>
    </row>
    <row r="272" spans="1:7">
      <c r="A272" s="11">
        <v>45668</v>
      </c>
      <c r="B272" s="12">
        <v>0.1575</v>
      </c>
      <c r="C272" s="17" t="s">
        <v>18</v>
      </c>
      <c r="D272" s="15">
        <v>0</v>
      </c>
      <c r="E272" s="18" t="s">
        <v>9</v>
      </c>
      <c r="F272" s="15">
        <f>=IF(E272="水上",D272,D272*-1)</f>
        <v>0</v>
      </c>
      <c r="G272" s="16">
        <f>=IF(F272&gt;0,F272*(1-B272),F272)</f>
        <v>0</v>
      </c>
    </row>
    <row r="273" spans="1:7">
      <c r="A273" s="11">
        <v>45668</v>
      </c>
      <c r="B273" s="12">
        <v>0.1575</v>
      </c>
      <c r="C273" s="17" t="s">
        <v>19</v>
      </c>
      <c r="D273" s="15">
        <v>800</v>
      </c>
      <c r="E273" s="18" t="s">
        <v>11</v>
      </c>
      <c r="F273" s="15">
        <f>=IF(E273="水上",D273,D273*-1)</f>
        <v>-800</v>
      </c>
      <c r="G273" s="16">
        <f>=IF(F273&gt;0,F273*(1-B273),F273)</f>
        <v>-800</v>
      </c>
    </row>
    <row r="274" spans="1:7">
      <c r="A274" s="11">
        <v>45667</v>
      </c>
      <c r="B274" s="12">
        <v>0.0876</v>
      </c>
      <c r="C274" s="17" t="s">
        <v>22</v>
      </c>
      <c r="D274" s="15">
        <v>300</v>
      </c>
      <c r="E274" s="18" t="s">
        <v>11</v>
      </c>
      <c r="F274" s="15">
        <f>=IF(E274="水上",D274,D274*-1)</f>
        <v>-300</v>
      </c>
      <c r="G274" s="16">
        <f>=IF(F274&gt;0,F274*(1-B274),F274)</f>
        <v>-300</v>
      </c>
    </row>
    <row r="275" spans="1:7">
      <c r="A275" s="11">
        <v>45667</v>
      </c>
      <c r="B275" s="12">
        <v>0.0876</v>
      </c>
      <c r="C275" s="17" t="s">
        <v>10</v>
      </c>
      <c r="D275" s="15">
        <v>650</v>
      </c>
      <c r="E275" s="18" t="s">
        <v>13</v>
      </c>
      <c r="F275" s="15">
        <f>=IF(E275="水上",D275,D275*-1)</f>
        <v>650</v>
      </c>
      <c r="G275" s="16">
        <f>=IF(F275&gt;0,F275*(1-B275),F275)</f>
        <v>593.06</v>
      </c>
    </row>
    <row r="276" spans="1:7">
      <c r="A276" s="11">
        <v>45667</v>
      </c>
      <c r="B276" s="12">
        <v>0.0876</v>
      </c>
      <c r="C276" s="17" t="s">
        <v>23</v>
      </c>
      <c r="D276" s="15">
        <v>1600</v>
      </c>
      <c r="E276" s="18" t="s">
        <v>13</v>
      </c>
      <c r="F276" s="15">
        <f>=IF(E276="水上",D276,D276*-1)</f>
        <v>1600</v>
      </c>
      <c r="G276" s="16">
        <f>=IF(F276&gt;0,F276*(1-B276),F276)</f>
        <v>1459.84</v>
      </c>
    </row>
    <row r="277" spans="1:7">
      <c r="A277" s="11">
        <v>45667</v>
      </c>
      <c r="B277" s="12">
        <v>0.0876</v>
      </c>
      <c r="C277" s="17" t="s">
        <v>16</v>
      </c>
      <c r="D277" s="15">
        <v>1500</v>
      </c>
      <c r="E277" s="18" t="s">
        <v>13</v>
      </c>
      <c r="F277" s="15">
        <f>=IF(E277="水上",D277,D277*-1)</f>
        <v>1500</v>
      </c>
      <c r="G277" s="16">
        <f>=IF(F277&gt;0,F277*(1-B277),F277)</f>
        <v>1368.6</v>
      </c>
    </row>
    <row r="278" spans="1:7">
      <c r="A278" s="11">
        <v>45667</v>
      </c>
      <c r="B278" s="12">
        <v>0.0876</v>
      </c>
      <c r="C278" s="17" t="s">
        <v>17</v>
      </c>
      <c r="D278" s="15">
        <v>55</v>
      </c>
      <c r="E278" s="18" t="s">
        <v>13</v>
      </c>
      <c r="F278" s="15">
        <f>=IF(E278="水上",D278,D278*-1)</f>
        <v>55</v>
      </c>
      <c r="G278" s="16">
        <f>=IF(F278&gt;0,F278*(1-B278),F278)</f>
        <v>50.182</v>
      </c>
    </row>
    <row r="279" spans="1:7">
      <c r="A279" s="11">
        <v>45667</v>
      </c>
      <c r="B279" s="12">
        <v>0.0876</v>
      </c>
      <c r="C279" s="17" t="s">
        <v>18</v>
      </c>
      <c r="D279" s="15">
        <v>1950</v>
      </c>
      <c r="E279" s="18" t="s">
        <v>11</v>
      </c>
      <c r="F279" s="15">
        <f>=IF(E279="水上",D279,D279*-1)</f>
        <v>-1950</v>
      </c>
      <c r="G279" s="16">
        <f>=IF(F279&gt;0,F279*(1-B279),F279)</f>
        <v>-1950</v>
      </c>
    </row>
    <row r="280" spans="1:7">
      <c r="A280" s="11">
        <v>45667</v>
      </c>
      <c r="B280" s="12">
        <v>0.0876</v>
      </c>
      <c r="C280" s="17" t="s">
        <v>19</v>
      </c>
      <c r="D280" s="15">
        <v>500</v>
      </c>
      <c r="E280" s="18" t="s">
        <v>11</v>
      </c>
      <c r="F280" s="15">
        <f>=IF(E280="水上",D280,D280*-1)</f>
        <v>-500</v>
      </c>
      <c r="G280" s="16">
        <f>=IF(F280&gt;0,F280*(1-B280),F280)</f>
        <v>-500</v>
      </c>
    </row>
    <row r="281" spans="1:7">
      <c r="A281" s="11">
        <v>45667</v>
      </c>
      <c r="B281" s="12">
        <v>0.0876</v>
      </c>
      <c r="C281" s="15" t="s">
        <v>21</v>
      </c>
      <c r="D281" s="15">
        <v>1035</v>
      </c>
      <c r="E281" s="18" t="s">
        <v>11</v>
      </c>
      <c r="F281" s="15">
        <f>=IF(E281="水上",D281,D281*-1)</f>
        <v>-1035</v>
      </c>
      <c r="G281" s="16">
        <f>=IF(F281&gt;0,F281*(1-B281),F281)</f>
        <v>-1035</v>
      </c>
    </row>
    <row r="282" spans="1:7">
      <c r="A282" s="11">
        <v>45665</v>
      </c>
      <c r="B282" s="12">
        <v>0.1973</v>
      </c>
      <c r="C282" s="17" t="s">
        <v>22</v>
      </c>
      <c r="D282" s="15">
        <v>660</v>
      </c>
      <c r="E282" s="18" t="s">
        <v>11</v>
      </c>
      <c r="F282" s="15">
        <f>=IF(E282="水上",D282,D282*-1)</f>
        <v>-660</v>
      </c>
      <c r="G282" s="16">
        <f>=IF(F282&gt;0,F282*(1-B282),F282)</f>
        <v>-660</v>
      </c>
    </row>
    <row r="283" spans="1:7">
      <c r="A283" s="11">
        <v>45665</v>
      </c>
      <c r="B283" s="12">
        <v>0.1973</v>
      </c>
      <c r="C283" s="17" t="s">
        <v>10</v>
      </c>
      <c r="D283" s="15">
        <v>500</v>
      </c>
      <c r="E283" s="18" t="s">
        <v>13</v>
      </c>
      <c r="F283" s="15">
        <f>=IF(E283="水上",D283,D283*-1)</f>
        <v>500</v>
      </c>
      <c r="G283" s="16">
        <f>=IF(F283&gt;0,F283*(1-B283),F283)</f>
        <v>401.35</v>
      </c>
    </row>
    <row r="284" spans="1:7">
      <c r="A284" s="11">
        <v>45665</v>
      </c>
      <c r="B284" s="12">
        <v>0.1973</v>
      </c>
      <c r="C284" s="15" t="s">
        <v>12</v>
      </c>
      <c r="D284" s="15">
        <v>300</v>
      </c>
      <c r="E284" s="18" t="s">
        <v>13</v>
      </c>
      <c r="F284" s="15">
        <f>=IF(E284="水上",D284,D284*-1)</f>
        <v>300</v>
      </c>
      <c r="G284" s="16">
        <f>=IF(F284&gt;0,F284*(1-B284),F284)</f>
        <v>240.81</v>
      </c>
    </row>
    <row r="285" spans="1:7">
      <c r="A285" s="11">
        <v>45665</v>
      </c>
      <c r="B285" s="12">
        <v>0.1973</v>
      </c>
      <c r="C285" s="15" t="s">
        <v>25</v>
      </c>
      <c r="D285" s="15">
        <v>450</v>
      </c>
      <c r="E285" s="18" t="s">
        <v>11</v>
      </c>
      <c r="F285" s="15">
        <f>=IF(E285="水上",D285,D285*-1)</f>
        <v>-450</v>
      </c>
      <c r="G285" s="16">
        <f>=IF(F285&gt;0,F285*(1-B285),F285)</f>
        <v>-450</v>
      </c>
    </row>
    <row r="286" spans="1:7">
      <c r="A286" s="11">
        <v>45665</v>
      </c>
      <c r="B286" s="12">
        <v>0.1973</v>
      </c>
      <c r="C286" s="17" t="s">
        <v>23</v>
      </c>
      <c r="D286" s="15">
        <v>200</v>
      </c>
      <c r="E286" s="18" t="s">
        <v>13</v>
      </c>
      <c r="F286" s="15">
        <f>=IF(E286="水上",D286,D286*-1)</f>
        <v>200</v>
      </c>
      <c r="G286" s="16">
        <f>=IF(F286&gt;0,F286*(1-B286),F286)</f>
        <v>160.54</v>
      </c>
    </row>
    <row r="287" spans="1:7">
      <c r="A287" s="11">
        <v>45664</v>
      </c>
      <c r="B287" s="12">
        <v>0.0557</v>
      </c>
      <c r="C287" s="17" t="s">
        <v>22</v>
      </c>
      <c r="D287" s="15">
        <v>1650</v>
      </c>
      <c r="E287" s="18" t="s">
        <v>11</v>
      </c>
      <c r="F287" s="15">
        <f>=IF(E287="水上",D287,D287*-1)</f>
        <v>-1650</v>
      </c>
      <c r="G287" s="16">
        <f>=IF(F287&gt;0,F287*(1-B287),F287)</f>
        <v>-1650</v>
      </c>
    </row>
    <row r="288" spans="1:7">
      <c r="A288" s="11">
        <v>45664</v>
      </c>
      <c r="B288" s="12">
        <v>0.0557</v>
      </c>
      <c r="C288" s="17" t="s">
        <v>10</v>
      </c>
      <c r="D288" s="15">
        <v>1040</v>
      </c>
      <c r="E288" s="18" t="s">
        <v>11</v>
      </c>
      <c r="F288" s="15">
        <f>=IF(E288="水上",D288,D288*-1)</f>
        <v>-1040</v>
      </c>
      <c r="G288" s="16">
        <f>=IF(F288&gt;0,F288*(1-B288),F288)</f>
        <v>-1040</v>
      </c>
    </row>
    <row r="289" spans="1:7">
      <c r="A289" s="11">
        <v>45664</v>
      </c>
      <c r="B289" s="12">
        <v>0.0557</v>
      </c>
      <c r="C289" s="15" t="s">
        <v>25</v>
      </c>
      <c r="D289" s="15">
        <v>1000</v>
      </c>
      <c r="E289" s="18" t="s">
        <v>13</v>
      </c>
      <c r="F289" s="15">
        <f>=IF(E289="水上",D289,D289*-1)</f>
        <v>1000</v>
      </c>
      <c r="G289" s="16">
        <f>=IF(F289&gt;0,F289*(1-B289),F289)</f>
        <v>944.3</v>
      </c>
    </row>
    <row r="290" spans="1:7">
      <c r="A290" s="11">
        <v>45664</v>
      </c>
      <c r="B290" s="12">
        <v>0.0557</v>
      </c>
      <c r="C290" s="17" t="s">
        <v>14</v>
      </c>
      <c r="D290" s="15">
        <v>470</v>
      </c>
      <c r="E290" s="18" t="s">
        <v>11</v>
      </c>
      <c r="F290" s="15">
        <f>=IF(E290="水上",D290,D290*-1)</f>
        <v>-470</v>
      </c>
      <c r="G290" s="16">
        <f>=IF(F290&gt;0,F290*(1-B290),F290)</f>
        <v>-470</v>
      </c>
    </row>
    <row r="291" spans="1:7">
      <c r="A291" s="11">
        <v>45664</v>
      </c>
      <c r="B291" s="12">
        <v>0.0557</v>
      </c>
      <c r="C291" s="17" t="s">
        <v>23</v>
      </c>
      <c r="D291" s="15">
        <v>1350</v>
      </c>
      <c r="E291" s="18" t="s">
        <v>13</v>
      </c>
      <c r="F291" s="15">
        <f>=IF(E291="水上",D291,D291*-1)</f>
        <v>1350</v>
      </c>
      <c r="G291" s="16">
        <f>=IF(F291&gt;0,F291*(1-B291),F291)</f>
        <v>1274.805</v>
      </c>
    </row>
    <row r="292" spans="1:7">
      <c r="A292" s="11">
        <v>45664</v>
      </c>
      <c r="B292" s="12">
        <v>0.0557</v>
      </c>
      <c r="C292" s="17" t="s">
        <v>16</v>
      </c>
      <c r="D292" s="15">
        <v>2200</v>
      </c>
      <c r="E292" s="18" t="s">
        <v>13</v>
      </c>
      <c r="F292" s="15">
        <f>=IF(E292="水上",D292,D292*-1)</f>
        <v>2200</v>
      </c>
      <c r="G292" s="16">
        <f>=IF(F292&gt;0,F292*(1-B292),F292)</f>
        <v>2077.46</v>
      </c>
    </row>
    <row r="293" spans="1:7">
      <c r="A293" s="11">
        <v>45664</v>
      </c>
      <c r="B293" s="12">
        <v>0.0557</v>
      </c>
      <c r="C293" s="17" t="s">
        <v>18</v>
      </c>
      <c r="D293" s="15">
        <v>1420</v>
      </c>
      <c r="E293" s="18" t="s">
        <v>11</v>
      </c>
      <c r="F293" s="15">
        <f>=IF(E293="水上",D293,D293*-1)</f>
        <v>-1420</v>
      </c>
      <c r="G293" s="16">
        <f>=IF(F293&gt;0,F293*(1-B293),F293)</f>
        <v>-1420</v>
      </c>
    </row>
    <row r="294" spans="1:7">
      <c r="A294" s="11">
        <v>45664</v>
      </c>
      <c r="B294" s="12">
        <v>0.0557</v>
      </c>
      <c r="C294" s="17" t="s">
        <v>19</v>
      </c>
      <c r="D294" s="15">
        <v>120</v>
      </c>
      <c r="E294" s="18" t="s">
        <v>11</v>
      </c>
      <c r="F294" s="15">
        <f>=IF(E294="水上",D294,D294*-1)</f>
        <v>-120</v>
      </c>
      <c r="G294" s="16">
        <f>=IF(F294&gt;0,F294*(1-B294),F294)</f>
        <v>-120</v>
      </c>
    </row>
    <row r="295" spans="1:7">
      <c r="A295" s="11">
        <v>45656</v>
      </c>
      <c r="B295" s="12">
        <v>0.0364</v>
      </c>
      <c r="C295" s="17" t="s">
        <v>22</v>
      </c>
      <c r="D295" s="15">
        <v>1330</v>
      </c>
      <c r="E295" s="18" t="s">
        <v>13</v>
      </c>
      <c r="F295" s="15">
        <f>=IF(E295="水上",D295,D295*-1)</f>
        <v>1330</v>
      </c>
      <c r="G295" s="16">
        <f>=IF(F295&gt;0,F295*(1-B295),F295)</f>
        <v>1281.588</v>
      </c>
    </row>
    <row r="296" spans="1:7">
      <c r="A296" s="11">
        <v>45656</v>
      </c>
      <c r="B296" s="12">
        <v>0.0364</v>
      </c>
      <c r="C296" s="17" t="s">
        <v>10</v>
      </c>
      <c r="D296" s="15">
        <v>150</v>
      </c>
      <c r="E296" s="18" t="s">
        <v>13</v>
      </c>
      <c r="F296" s="15">
        <f>=IF(E296="水上",D296,D296*-1)</f>
        <v>150</v>
      </c>
      <c r="G296" s="16">
        <f>=IF(F296&gt;0,F296*(1-B296),F296)</f>
        <v>144.54</v>
      </c>
    </row>
    <row r="297" spans="1:7">
      <c r="A297" s="11">
        <v>45656</v>
      </c>
      <c r="B297" s="12">
        <v>0.0364</v>
      </c>
      <c r="C297" s="17" t="s">
        <v>23</v>
      </c>
      <c r="D297" s="15">
        <v>2000</v>
      </c>
      <c r="E297" s="18" t="s">
        <v>11</v>
      </c>
      <c r="F297" s="15">
        <f>=IF(E297="水上",D297,D297*-1)</f>
        <v>-2000</v>
      </c>
      <c r="G297" s="16">
        <f>=IF(F297&gt;0,F297*(1-B297),F297)</f>
        <v>-2000</v>
      </c>
    </row>
    <row r="298" spans="1:7">
      <c r="A298" s="11">
        <v>45656</v>
      </c>
      <c r="B298" s="12">
        <v>0.0364</v>
      </c>
      <c r="C298" s="17" t="s">
        <v>16</v>
      </c>
      <c r="D298" s="15">
        <v>2900</v>
      </c>
      <c r="E298" s="18" t="s">
        <v>13</v>
      </c>
      <c r="F298" s="15">
        <f>=IF(E298="水上",D298,D298*-1)</f>
        <v>2900</v>
      </c>
      <c r="G298" s="16">
        <f>=IF(F298&gt;0,F298*(1-B298),F298)</f>
        <v>2794.44</v>
      </c>
    </row>
    <row r="299" spans="1:7">
      <c r="A299" s="11">
        <v>45656</v>
      </c>
      <c r="B299" s="12">
        <v>0.0364</v>
      </c>
      <c r="C299" s="17" t="s">
        <v>18</v>
      </c>
      <c r="D299" s="15">
        <v>2400</v>
      </c>
      <c r="E299" s="18" t="s">
        <v>13</v>
      </c>
      <c r="F299" s="15">
        <f>=IF(E299="水上",D299,D299*-1)</f>
        <v>2400</v>
      </c>
      <c r="G299" s="16">
        <f>=IF(F299&gt;0,F299*(1-B299),F299)</f>
        <v>2312.64</v>
      </c>
    </row>
    <row r="300" spans="1:7">
      <c r="A300" s="11">
        <v>45656</v>
      </c>
      <c r="B300" s="12">
        <v>0.0364</v>
      </c>
      <c r="C300" s="17" t="s">
        <v>19</v>
      </c>
      <c r="D300" s="15">
        <v>720</v>
      </c>
      <c r="E300" s="18" t="s">
        <v>11</v>
      </c>
      <c r="F300" s="15">
        <f>=IF(E300="水上",D300,D300*-1)</f>
        <v>-720</v>
      </c>
      <c r="G300" s="16">
        <f>=IF(F300&gt;0,F300*(1-B300),F300)</f>
        <v>-720</v>
      </c>
    </row>
    <row r="301" spans="1:7">
      <c r="A301" s="24">
        <v>45656</v>
      </c>
      <c r="B301" s="25">
        <v>0.0364</v>
      </c>
      <c r="C301" s="15" t="s">
        <v>20</v>
      </c>
      <c r="D301" s="15">
        <v>4230</v>
      </c>
      <c r="E301" s="18" t="s">
        <v>11</v>
      </c>
      <c r="F301" s="15">
        <f>=IF(E301="水上",D301,D301*-1)</f>
        <v>-4230</v>
      </c>
      <c r="G301" s="16">
        <f>=IF(F301&gt;0,F301*(1-B301),F301)</f>
        <v>-4230</v>
      </c>
    </row>
    <row r="302" spans="1:7">
      <c r="A302" s="11">
        <v>45653</v>
      </c>
      <c r="B302" s="12">
        <v>0.03</v>
      </c>
      <c r="C302" s="17" t="s">
        <v>22</v>
      </c>
      <c r="D302" s="15">
        <v>1950</v>
      </c>
      <c r="E302" s="18" t="s">
        <v>13</v>
      </c>
      <c r="F302" s="15">
        <f>=IF(E302="水上",D302,D302*-1)</f>
        <v>1950</v>
      </c>
      <c r="G302" s="16">
        <f>=IF(F302&gt;0,F302*(1-B302),F302)</f>
        <v>1891.5</v>
      </c>
    </row>
    <row r="303" spans="1:7">
      <c r="A303" s="11">
        <v>45653</v>
      </c>
      <c r="B303" s="12">
        <v>0.03</v>
      </c>
      <c r="C303" s="17" t="s">
        <v>10</v>
      </c>
      <c r="D303" s="15">
        <v>900</v>
      </c>
      <c r="E303" s="18" t="s">
        <v>11</v>
      </c>
      <c r="F303" s="15">
        <f>=IF(E303="水上",D303,D303*-1)</f>
        <v>-900</v>
      </c>
      <c r="G303" s="16">
        <f>=IF(F303&gt;0,F303*(1-B303),F303)</f>
        <v>-900</v>
      </c>
    </row>
    <row r="304" spans="1:7">
      <c r="A304" s="11">
        <v>45653</v>
      </c>
      <c r="B304" s="12">
        <v>0.03</v>
      </c>
      <c r="C304" s="15" t="s">
        <v>12</v>
      </c>
      <c r="D304" s="15">
        <v>400</v>
      </c>
      <c r="E304" s="18" t="s">
        <v>13</v>
      </c>
      <c r="F304" s="15">
        <f>=IF(E304="水上",D304,D304*-1)</f>
        <v>400</v>
      </c>
      <c r="G304" s="16">
        <f>=IF(F304&gt;0,F304*(1-B304),F304)</f>
        <v>388</v>
      </c>
    </row>
    <row r="305" spans="1:7">
      <c r="A305" s="11">
        <v>45653</v>
      </c>
      <c r="B305" s="12">
        <v>0.03</v>
      </c>
      <c r="C305" s="17" t="s">
        <v>23</v>
      </c>
      <c r="D305" s="15">
        <v>500</v>
      </c>
      <c r="E305" s="18" t="s">
        <v>11</v>
      </c>
      <c r="F305" s="15">
        <f>=IF(E305="水上",D305,D305*-1)</f>
        <v>-500</v>
      </c>
      <c r="G305" s="16">
        <f>=IF(F305&gt;0,F305*(1-B305),F305)</f>
        <v>-500</v>
      </c>
    </row>
    <row r="306" spans="1:7">
      <c r="A306" s="11">
        <v>45653</v>
      </c>
      <c r="B306" s="12">
        <v>0.03</v>
      </c>
      <c r="C306" s="17" t="s">
        <v>16</v>
      </c>
      <c r="D306" s="15">
        <v>1300</v>
      </c>
      <c r="E306" s="18" t="s">
        <v>11</v>
      </c>
      <c r="F306" s="15">
        <f>=IF(E306="水上",D306,D306*-1)</f>
        <v>-1300</v>
      </c>
      <c r="G306" s="16">
        <f>=IF(F306&gt;0,F306*(1-B306),F306)</f>
        <v>-1300</v>
      </c>
    </row>
    <row r="307" spans="1:7">
      <c r="A307" s="11">
        <v>45653</v>
      </c>
      <c r="B307" s="12">
        <v>0.03</v>
      </c>
      <c r="C307" s="17" t="s">
        <v>18</v>
      </c>
      <c r="D307" s="15">
        <v>5500</v>
      </c>
      <c r="E307" s="18" t="s">
        <v>13</v>
      </c>
      <c r="F307" s="15">
        <f>=IF(E307="水上",D307,D307*-1)</f>
        <v>5500</v>
      </c>
      <c r="G307" s="16">
        <f>=IF(F307&gt;0,F307*(1-B307),F307)</f>
        <v>5335</v>
      </c>
    </row>
    <row r="308" spans="1:7">
      <c r="A308" s="11">
        <v>45653</v>
      </c>
      <c r="B308" s="12">
        <v>0.03</v>
      </c>
      <c r="C308" s="17" t="s">
        <v>19</v>
      </c>
      <c r="D308" s="15">
        <v>2000</v>
      </c>
      <c r="E308" s="18" t="s">
        <v>13</v>
      </c>
      <c r="F308" s="15">
        <f>=IF(E308="水上",D308,D308*-1)</f>
        <v>2000</v>
      </c>
      <c r="G308" s="16">
        <f>=IF(F308&gt;0,F308*(1-B308),F308)</f>
        <v>1940</v>
      </c>
    </row>
    <row r="309" spans="1:7">
      <c r="A309" s="11">
        <v>45653</v>
      </c>
      <c r="B309" s="12">
        <v>0.03</v>
      </c>
      <c r="C309" s="15" t="s">
        <v>20</v>
      </c>
      <c r="D309" s="15">
        <v>7400</v>
      </c>
      <c r="E309" s="18" t="s">
        <v>11</v>
      </c>
      <c r="F309" s="15">
        <f>=IF(E309="水上",D309,D309*-1)</f>
        <v>-7400</v>
      </c>
      <c r="G309" s="16">
        <f>=IF(F309&gt;0,F309*(1-B309),F309)</f>
        <v>-7400</v>
      </c>
    </row>
    <row r="310" spans="1:7">
      <c r="A310" s="11">
        <v>45652</v>
      </c>
      <c r="B310" s="12">
        <v>0.1131</v>
      </c>
      <c r="C310" s="17" t="s">
        <v>22</v>
      </c>
      <c r="D310" s="15">
        <v>900</v>
      </c>
      <c r="E310" s="18" t="s">
        <v>11</v>
      </c>
      <c r="F310" s="15">
        <f>=IF(E310="水上",D310,D310*-1)</f>
        <v>-900</v>
      </c>
      <c r="G310" s="16">
        <f>=IF(F310&gt;0,F310*(1-B310),F310)</f>
        <v>-900</v>
      </c>
    </row>
    <row r="311" spans="1:7">
      <c r="A311" s="11">
        <v>45652</v>
      </c>
      <c r="B311" s="12">
        <v>0.1131</v>
      </c>
      <c r="C311" s="17" t="s">
        <v>10</v>
      </c>
      <c r="D311" s="15">
        <v>390</v>
      </c>
      <c r="E311" s="18" t="s">
        <v>13</v>
      </c>
      <c r="F311" s="15">
        <f>=IF(E311="水上",D311,D311*-1)</f>
        <v>390</v>
      </c>
      <c r="G311" s="16">
        <f>=IF(F311&gt;0,F311*(1-B311),F311)</f>
        <v>345.891</v>
      </c>
    </row>
    <row r="312" spans="1:7">
      <c r="A312" s="11">
        <v>45652</v>
      </c>
      <c r="B312" s="12">
        <v>0.1131</v>
      </c>
      <c r="C312" s="15" t="s">
        <v>25</v>
      </c>
      <c r="D312" s="15">
        <v>600</v>
      </c>
      <c r="E312" s="18" t="s">
        <v>13</v>
      </c>
      <c r="F312" s="15">
        <f>=IF(E312="水上",D312,D312*-1)</f>
        <v>600</v>
      </c>
      <c r="G312" s="16">
        <f>=IF(F312&gt;0,F312*(1-B312),F312)</f>
        <v>532.14</v>
      </c>
    </row>
    <row r="313" spans="1:7">
      <c r="A313" s="11">
        <v>45652</v>
      </c>
      <c r="B313" s="12">
        <v>0.1131</v>
      </c>
      <c r="C313" s="17" t="s">
        <v>14</v>
      </c>
      <c r="D313" s="15">
        <v>1075</v>
      </c>
      <c r="E313" s="18" t="s">
        <v>11</v>
      </c>
      <c r="F313" s="15">
        <f>=IF(E313="水上",D313,D313*-1)</f>
        <v>-1075</v>
      </c>
      <c r="G313" s="16">
        <f>=IF(F313&gt;0,F313*(1-B313),F313)</f>
        <v>-1075</v>
      </c>
    </row>
    <row r="314" spans="1:7">
      <c r="A314" s="11">
        <v>45652</v>
      </c>
      <c r="B314" s="12">
        <v>0.1131</v>
      </c>
      <c r="C314" s="17" t="s">
        <v>23</v>
      </c>
      <c r="D314" s="15">
        <v>500</v>
      </c>
      <c r="E314" s="18" t="s">
        <v>13</v>
      </c>
      <c r="F314" s="15">
        <f>=IF(E314="水上",D314,D314*-1)</f>
        <v>500</v>
      </c>
      <c r="G314" s="16">
        <f>=IF(F314&gt;0,F314*(1-B314),F314)</f>
        <v>443.45</v>
      </c>
    </row>
    <row r="315" spans="1:7">
      <c r="A315" s="11">
        <v>45652</v>
      </c>
      <c r="B315" s="12">
        <v>0.1131</v>
      </c>
      <c r="C315" s="17" t="s">
        <v>18</v>
      </c>
      <c r="D315" s="15">
        <v>465</v>
      </c>
      <c r="E315" s="18" t="s">
        <v>11</v>
      </c>
      <c r="F315" s="15">
        <f>=IF(E315="水上",D315,D315*-1)</f>
        <v>-465</v>
      </c>
      <c r="G315" s="16">
        <f>=IF(F315&gt;0,F315*(1-B315),F315)</f>
        <v>-465</v>
      </c>
    </row>
    <row r="316" spans="1:7">
      <c r="A316" s="11">
        <v>45652</v>
      </c>
      <c r="B316" s="12">
        <v>0.1131</v>
      </c>
      <c r="C316" s="15" t="s">
        <v>20</v>
      </c>
      <c r="D316" s="15">
        <v>850</v>
      </c>
      <c r="E316" s="18" t="s">
        <v>13</v>
      </c>
      <c r="F316" s="15">
        <f>=IF(E316="水上",D316,D316*-1)</f>
        <v>850</v>
      </c>
      <c r="G316" s="16">
        <f>=IF(F316&gt;0,F316*(1-B316),F316)</f>
        <v>753.865</v>
      </c>
    </row>
    <row r="317" spans="1:7">
      <c r="A317" s="11">
        <v>45643</v>
      </c>
      <c r="B317" s="12">
        <v>0.0569</v>
      </c>
      <c r="C317" s="17" t="s">
        <v>22</v>
      </c>
      <c r="D317" s="15">
        <v>2000</v>
      </c>
      <c r="E317" s="18" t="s">
        <v>13</v>
      </c>
      <c r="F317" s="15">
        <f>=IF(E317="水上",D317,D317*-1)</f>
        <v>2000</v>
      </c>
      <c r="G317" s="16">
        <f>=IF(F317&gt;0,F317*(1-B317),F317)</f>
        <v>1886.2</v>
      </c>
    </row>
    <row r="318" spans="1:7">
      <c r="A318" s="11">
        <v>45643</v>
      </c>
      <c r="B318" s="12">
        <v>0.0569</v>
      </c>
      <c r="C318" s="17" t="s">
        <v>10</v>
      </c>
      <c r="D318" s="15">
        <v>600</v>
      </c>
      <c r="E318" s="18" t="s">
        <v>13</v>
      </c>
      <c r="F318" s="15">
        <f>=IF(E318="水上",D318,D318*-1)</f>
        <v>600</v>
      </c>
      <c r="G318" s="16">
        <f>=IF(F318&gt;0,F318*(1-B318),F318)</f>
        <v>565.86</v>
      </c>
    </row>
    <row r="319" spans="1:7">
      <c r="A319" s="11">
        <v>45643</v>
      </c>
      <c r="B319" s="12">
        <v>0.0569</v>
      </c>
      <c r="C319" s="15" t="s">
        <v>12</v>
      </c>
      <c r="D319" s="15">
        <v>190</v>
      </c>
      <c r="E319" s="18" t="s">
        <v>11</v>
      </c>
      <c r="F319" s="15">
        <f>=IF(E319="水上",D319,D319*-1)</f>
        <v>-190</v>
      </c>
      <c r="G319" s="16">
        <f>=IF(F319&gt;0,F319*(1-B319),F319)</f>
        <v>-190</v>
      </c>
    </row>
    <row r="320" spans="1:7">
      <c r="A320" s="11">
        <v>45643</v>
      </c>
      <c r="B320" s="12">
        <v>0.0569</v>
      </c>
      <c r="C320" s="15" t="s">
        <v>25</v>
      </c>
      <c r="D320" s="15">
        <v>580</v>
      </c>
      <c r="E320" s="18" t="s">
        <v>11</v>
      </c>
      <c r="F320" s="15">
        <f>=IF(E320="水上",D320,D320*-1)</f>
        <v>-580</v>
      </c>
      <c r="G320" s="16">
        <f>=IF(F320&gt;0,F320*(1-B320),F320)</f>
        <v>-580</v>
      </c>
    </row>
    <row r="321" spans="1:7">
      <c r="A321" s="11">
        <v>45643</v>
      </c>
      <c r="B321" s="12">
        <v>0.0569</v>
      </c>
      <c r="C321" s="17" t="s">
        <v>14</v>
      </c>
      <c r="D321" s="15">
        <v>195</v>
      </c>
      <c r="E321" s="18" t="s">
        <v>13</v>
      </c>
      <c r="F321" s="15">
        <f>=IF(E321="水上",D321,D321*-1)</f>
        <v>195</v>
      </c>
      <c r="G321" s="16">
        <f>=IF(F321&gt;0,F321*(1-B321),F321)</f>
        <v>183.9045</v>
      </c>
    </row>
    <row r="322" spans="1:7">
      <c r="A322" s="11">
        <v>45643</v>
      </c>
      <c r="B322" s="12">
        <v>0.0569</v>
      </c>
      <c r="C322" s="17" t="s">
        <v>23</v>
      </c>
      <c r="D322" s="15">
        <v>500</v>
      </c>
      <c r="E322" s="18" t="s">
        <v>11</v>
      </c>
      <c r="F322" s="15">
        <f>=IF(E322="水上",D322,D322*-1)</f>
        <v>-500</v>
      </c>
      <c r="G322" s="16">
        <f>=IF(F322&gt;0,F322*(1-B322),F322)</f>
        <v>-500</v>
      </c>
    </row>
    <row r="323" spans="1:7">
      <c r="A323" s="11">
        <v>45643</v>
      </c>
      <c r="B323" s="12">
        <v>0.0569</v>
      </c>
      <c r="C323" s="17" t="s">
        <v>16</v>
      </c>
      <c r="D323" s="15">
        <v>2455</v>
      </c>
      <c r="E323" s="18" t="s">
        <v>11</v>
      </c>
      <c r="F323" s="15">
        <f>=IF(E323="水上",D323,D323*-1)</f>
        <v>-2455</v>
      </c>
      <c r="G323" s="16">
        <f>=IF(F323&gt;0,F323*(1-B323),F323)</f>
        <v>-2455</v>
      </c>
    </row>
    <row r="324" spans="1:7">
      <c r="A324" s="11">
        <v>45643</v>
      </c>
      <c r="B324" s="12">
        <v>0.0569</v>
      </c>
      <c r="C324" s="17" t="s">
        <v>31</v>
      </c>
      <c r="D324" s="15">
        <v>600</v>
      </c>
      <c r="E324" s="18" t="s">
        <v>13</v>
      </c>
      <c r="F324" s="15">
        <f>=IF(E324="水上",D324,D324*-1)</f>
        <v>600</v>
      </c>
      <c r="G324" s="16">
        <f>=IF(F324&gt;0,F324*(1-B324),F324)</f>
        <v>565.86</v>
      </c>
    </row>
    <row r="325" spans="1:7">
      <c r="A325" s="11">
        <v>45643</v>
      </c>
      <c r="B325" s="12">
        <v>0.0569</v>
      </c>
      <c r="C325" s="17" t="s">
        <v>18</v>
      </c>
      <c r="D325" s="15">
        <v>2040</v>
      </c>
      <c r="E325" s="18" t="s">
        <v>13</v>
      </c>
      <c r="F325" s="15">
        <f>=IF(E325="水上",D325,D325*-1)</f>
        <v>2040</v>
      </c>
      <c r="G325" s="16">
        <f>=IF(F325&gt;0,F325*(1-B325),F325)</f>
        <v>1923.924</v>
      </c>
    </row>
    <row r="326" spans="1:7">
      <c r="A326" s="11">
        <v>45643</v>
      </c>
      <c r="B326" s="12">
        <v>0.0569</v>
      </c>
      <c r="C326" s="17" t="s">
        <v>19</v>
      </c>
      <c r="D326" s="15">
        <v>565</v>
      </c>
      <c r="E326" s="18" t="s">
        <v>11</v>
      </c>
      <c r="F326" s="15">
        <f>=IF(E326="水上",D326,D326*-1)</f>
        <v>-565</v>
      </c>
      <c r="G326" s="16">
        <f>=IF(F326&gt;0,F326*(1-B326),F326)</f>
        <v>-565</v>
      </c>
    </row>
    <row r="327" spans="1:7">
      <c r="A327" s="24">
        <v>45643</v>
      </c>
      <c r="B327" s="25">
        <v>0.0569</v>
      </c>
      <c r="C327" s="15" t="s">
        <v>20</v>
      </c>
      <c r="D327" s="15">
        <v>1260</v>
      </c>
      <c r="E327" s="18" t="s">
        <v>11</v>
      </c>
      <c r="F327" s="15">
        <f>=IF(E327="水上",D327,D327*-1)</f>
        <v>-1260</v>
      </c>
      <c r="G327" s="16">
        <f>=IF(F327&gt;0,F327*(1-B327),F327)</f>
        <v>-1260</v>
      </c>
    </row>
    <row r="328" spans="1:7">
      <c r="A328" s="11">
        <v>45642</v>
      </c>
      <c r="B328" s="12">
        <v>0.0434</v>
      </c>
      <c r="C328" s="17" t="s">
        <v>22</v>
      </c>
      <c r="D328" s="15">
        <v>3250</v>
      </c>
      <c r="E328" s="18" t="s">
        <v>11</v>
      </c>
      <c r="F328" s="15">
        <f>=IF(E328="水上",D328,D328*-1)</f>
        <v>-3250</v>
      </c>
      <c r="G328" s="16">
        <f>=IF(F328&gt;0,F328*(1-B328),F328)</f>
        <v>-3250</v>
      </c>
    </row>
    <row r="329" spans="1:7">
      <c r="A329" s="11">
        <v>45642</v>
      </c>
      <c r="B329" s="12">
        <v>0.0434</v>
      </c>
      <c r="C329" s="17" t="s">
        <v>10</v>
      </c>
      <c r="D329" s="15">
        <v>150</v>
      </c>
      <c r="E329" s="18" t="s">
        <v>11</v>
      </c>
      <c r="F329" s="15">
        <f>=IF(E329="水上",D329,D329*-1)</f>
        <v>-150</v>
      </c>
      <c r="G329" s="16">
        <f>=IF(F329&gt;0,F329*(1-B329),F329)</f>
        <v>-150</v>
      </c>
    </row>
    <row r="330" spans="1:7">
      <c r="A330" s="11">
        <v>45642</v>
      </c>
      <c r="B330" s="12">
        <v>0.0434</v>
      </c>
      <c r="C330" s="15" t="s">
        <v>25</v>
      </c>
      <c r="D330" s="15">
        <v>1700</v>
      </c>
      <c r="E330" s="18" t="s">
        <v>13</v>
      </c>
      <c r="F330" s="15">
        <f>=IF(E330="水上",D330,D330*-1)</f>
        <v>1700</v>
      </c>
      <c r="G330" s="16">
        <f>=IF(F330&gt;0,F330*(1-B330),F330)</f>
        <v>1626.22</v>
      </c>
    </row>
    <row r="331" spans="1:7">
      <c r="A331" s="11">
        <v>45642</v>
      </c>
      <c r="B331" s="12">
        <v>0.0434</v>
      </c>
      <c r="C331" s="17" t="s">
        <v>14</v>
      </c>
      <c r="D331" s="15">
        <v>1825</v>
      </c>
      <c r="E331" s="18" t="s">
        <v>13</v>
      </c>
      <c r="F331" s="15">
        <f>=IF(E331="水上",D331,D331*-1)</f>
        <v>1825</v>
      </c>
      <c r="G331" s="16">
        <f>=IF(F331&gt;0,F331*(1-B331),F331)</f>
        <v>1745.795</v>
      </c>
    </row>
    <row r="332" spans="1:7">
      <c r="A332" s="11">
        <v>45642</v>
      </c>
      <c r="B332" s="12">
        <v>0.0434</v>
      </c>
      <c r="C332" s="17" t="s">
        <v>16</v>
      </c>
      <c r="D332" s="15">
        <v>1780</v>
      </c>
      <c r="E332" s="18" t="s">
        <v>11</v>
      </c>
      <c r="F332" s="15">
        <f>=IF(E332="水上",D332,D332*-1)</f>
        <v>-1780</v>
      </c>
      <c r="G332" s="16">
        <f>=IF(F332&gt;0,F332*(1-B332),F332)</f>
        <v>-1780</v>
      </c>
    </row>
    <row r="333" spans="1:7">
      <c r="A333" s="11">
        <v>45642</v>
      </c>
      <c r="B333" s="12">
        <v>0.0434</v>
      </c>
      <c r="C333" s="17" t="s">
        <v>18</v>
      </c>
      <c r="D333" s="15">
        <v>1020</v>
      </c>
      <c r="E333" s="18" t="s">
        <v>13</v>
      </c>
      <c r="F333" s="15">
        <f>=IF(E333="水上",D333,D333*-1)</f>
        <v>1020</v>
      </c>
      <c r="G333" s="16">
        <f>=IF(F333&gt;0,F333*(1-B333),F333)</f>
        <v>975.732</v>
      </c>
    </row>
    <row r="334" spans="1:7">
      <c r="A334" s="11">
        <v>45642</v>
      </c>
      <c r="B334" s="12">
        <v>0.0434</v>
      </c>
      <c r="C334" s="15" t="s">
        <v>20</v>
      </c>
      <c r="D334" s="15">
        <v>550</v>
      </c>
      <c r="E334" s="18" t="s">
        <v>13</v>
      </c>
      <c r="F334" s="15">
        <f>=IF(E334="水上",D334,D334*-1)</f>
        <v>550</v>
      </c>
      <c r="G334" s="16">
        <f>=IF(F334&gt;0,F334*(1-B334),F334)</f>
        <v>526.13</v>
      </c>
    </row>
    <row r="335" spans="1:7">
      <c r="A335" s="11">
        <v>45639</v>
      </c>
      <c r="B335" s="12">
        <v>0.0433</v>
      </c>
      <c r="C335" s="17" t="s">
        <v>22</v>
      </c>
      <c r="D335" s="15">
        <v>2000</v>
      </c>
      <c r="E335" s="18" t="s">
        <v>11</v>
      </c>
      <c r="F335" s="15">
        <f>=IF(E335="水上",D335,D335*-1)</f>
        <v>-2000</v>
      </c>
      <c r="G335" s="16">
        <f>=IF(F335&gt;0,F335*(1-B335),F335)</f>
        <v>-2000</v>
      </c>
    </row>
    <row r="336" spans="1:7">
      <c r="A336" s="11">
        <v>45639</v>
      </c>
      <c r="B336" s="12">
        <v>0.0433</v>
      </c>
      <c r="C336" s="17" t="s">
        <v>10</v>
      </c>
      <c r="D336" s="15">
        <v>1130</v>
      </c>
      <c r="E336" s="18" t="s">
        <v>13</v>
      </c>
      <c r="F336" s="15">
        <f>=IF(E336="水上",D336,D336*-1)</f>
        <v>1130</v>
      </c>
      <c r="G336" s="16">
        <f>=IF(F336&gt;0,F336*(1-B336),F336)</f>
        <v>1081.071</v>
      </c>
    </row>
    <row r="337" spans="1:7">
      <c r="A337" s="11">
        <v>45639</v>
      </c>
      <c r="B337" s="12">
        <v>0.0433</v>
      </c>
      <c r="C337" s="15" t="s">
        <v>25</v>
      </c>
      <c r="D337" s="15">
        <v>160</v>
      </c>
      <c r="E337" s="18" t="s">
        <v>11</v>
      </c>
      <c r="F337" s="15">
        <f>=IF(E337="水上",D337,D337*-1)</f>
        <v>-160</v>
      </c>
      <c r="G337" s="16">
        <f>=IF(F337&gt;0,F337*(1-B337),F337)</f>
        <v>-160</v>
      </c>
    </row>
    <row r="338" spans="1:7">
      <c r="A338" s="11">
        <v>45639</v>
      </c>
      <c r="B338" s="12">
        <v>0.0433</v>
      </c>
      <c r="C338" s="17" t="s">
        <v>14</v>
      </c>
      <c r="D338" s="15">
        <v>1275</v>
      </c>
      <c r="E338" s="18" t="s">
        <v>11</v>
      </c>
      <c r="F338" s="15">
        <f>=IF(E338="水上",D338,D338*-1)</f>
        <v>-1275</v>
      </c>
      <c r="G338" s="16">
        <f>=IF(F338&gt;0,F338*(1-B338),F338)</f>
        <v>-1275</v>
      </c>
    </row>
    <row r="339" spans="1:7">
      <c r="A339" s="11">
        <v>45639</v>
      </c>
      <c r="B339" s="12">
        <v>0.0433</v>
      </c>
      <c r="C339" s="17" t="s">
        <v>23</v>
      </c>
      <c r="D339" s="15">
        <v>2200</v>
      </c>
      <c r="E339" s="18" t="s">
        <v>11</v>
      </c>
      <c r="F339" s="15">
        <f>=IF(E339="水上",D339,D339*-1)</f>
        <v>-2200</v>
      </c>
      <c r="G339" s="16">
        <f>=IF(F339&gt;0,F339*(1-B339),F339)</f>
        <v>-2200</v>
      </c>
    </row>
    <row r="340" spans="1:7">
      <c r="A340" s="11">
        <v>45639</v>
      </c>
      <c r="B340" s="12">
        <v>0.0433</v>
      </c>
      <c r="C340" s="17" t="s">
        <v>16</v>
      </c>
      <c r="D340" s="15">
        <v>1050</v>
      </c>
      <c r="E340" s="18" t="s">
        <v>13</v>
      </c>
      <c r="F340" s="15">
        <f>=IF(E340="水上",D340,D340*-1)</f>
        <v>1050</v>
      </c>
      <c r="G340" s="16">
        <f>=IF(F340&gt;0,F340*(1-B340),F340)</f>
        <v>1004.535</v>
      </c>
    </row>
    <row r="341" spans="1:7">
      <c r="A341" s="11">
        <v>45639</v>
      </c>
      <c r="B341" s="12">
        <v>0.0433</v>
      </c>
      <c r="C341" s="17" t="s">
        <v>18</v>
      </c>
      <c r="D341" s="15">
        <v>1250</v>
      </c>
      <c r="E341" s="18" t="s">
        <v>13</v>
      </c>
      <c r="F341" s="15">
        <f>=IF(E341="水上",D341,D341*-1)</f>
        <v>1250</v>
      </c>
      <c r="G341" s="16">
        <f>=IF(F341&gt;0,F341*(1-B341),F341)</f>
        <v>1195.875</v>
      </c>
    </row>
    <row r="342" spans="1:7">
      <c r="A342" s="11">
        <v>45639</v>
      </c>
      <c r="B342" s="12">
        <v>0.0433</v>
      </c>
      <c r="C342" s="17" t="s">
        <v>19</v>
      </c>
      <c r="D342" s="15">
        <v>2150</v>
      </c>
      <c r="E342" s="18" t="s">
        <v>13</v>
      </c>
      <c r="F342" s="15">
        <f>=IF(E342="水上",D342,D342*-1)</f>
        <v>2150</v>
      </c>
      <c r="G342" s="16">
        <f>=IF(F342&gt;0,F342*(1-B342),F342)</f>
        <v>2056.905</v>
      </c>
    </row>
    <row r="343" spans="1:7">
      <c r="A343" s="11">
        <v>45636</v>
      </c>
      <c r="B343" s="12">
        <v>0.0723</v>
      </c>
      <c r="C343" s="22" t="s">
        <v>22</v>
      </c>
      <c r="D343" s="26">
        <v>2200</v>
      </c>
      <c r="E343" s="27" t="s">
        <v>13</v>
      </c>
      <c r="F343" s="15">
        <f>=IF(E343="水上",D343,D343*-1)</f>
        <v>2200</v>
      </c>
      <c r="G343" s="16">
        <f>=IF(F343&gt;0,F343*(1-B343),F343)</f>
        <v>2040.94</v>
      </c>
    </row>
    <row r="344" spans="1:7">
      <c r="A344" s="11">
        <v>45636</v>
      </c>
      <c r="B344" s="12">
        <v>0.0723</v>
      </c>
      <c r="C344" s="22" t="s">
        <v>23</v>
      </c>
      <c r="D344" s="26">
        <v>725</v>
      </c>
      <c r="E344" s="27" t="s">
        <v>13</v>
      </c>
      <c r="F344" s="15">
        <f>=IF(E344="水上",D344,D344*-1)</f>
        <v>725</v>
      </c>
      <c r="G344" s="16">
        <f>=IF(F344&gt;0,F344*(1-B344),F344)</f>
        <v>672.5825</v>
      </c>
    </row>
    <row r="345" spans="1:7">
      <c r="A345" s="11">
        <v>45636</v>
      </c>
      <c r="B345" s="12">
        <v>0.0723</v>
      </c>
      <c r="C345" s="28" t="s">
        <v>16</v>
      </c>
      <c r="D345" s="26">
        <v>1150</v>
      </c>
      <c r="E345" s="27" t="s">
        <v>13</v>
      </c>
      <c r="F345" s="15">
        <f>=IF(E345="水上",D345,D345*-1)</f>
        <v>1150</v>
      </c>
      <c r="G345" s="16">
        <f>=IF(F345&gt;0,F345*(1-B345),F345)</f>
        <v>1066.855</v>
      </c>
    </row>
    <row r="346" spans="1:7">
      <c r="A346" s="11">
        <v>45636</v>
      </c>
      <c r="B346" s="12">
        <v>0.0723</v>
      </c>
      <c r="C346" s="22" t="s">
        <v>18</v>
      </c>
      <c r="D346" s="26">
        <v>240</v>
      </c>
      <c r="E346" s="27" t="s">
        <v>11</v>
      </c>
      <c r="F346" s="15">
        <f>=IF(E346="水上",D346,D346*-1)</f>
        <v>-240</v>
      </c>
      <c r="G346" s="16">
        <f>=IF(F346&gt;0,F346*(1-B346),F346)</f>
        <v>-240</v>
      </c>
    </row>
    <row r="347" spans="1:7">
      <c r="A347" s="11">
        <v>45636</v>
      </c>
      <c r="B347" s="12">
        <v>0.0723</v>
      </c>
      <c r="C347" s="17" t="s">
        <v>19</v>
      </c>
      <c r="D347" s="26">
        <v>475</v>
      </c>
      <c r="E347" s="27" t="s">
        <v>11</v>
      </c>
      <c r="F347" s="15">
        <f>=IF(E347="水上",D347,D347*-1)</f>
        <v>-475</v>
      </c>
      <c r="G347" s="16">
        <f>=IF(F347&gt;0,F347*(1-B347),F347)</f>
        <v>-475</v>
      </c>
    </row>
    <row r="348" spans="1:7">
      <c r="A348" s="11">
        <v>45636</v>
      </c>
      <c r="B348" s="12">
        <v>0.0723</v>
      </c>
      <c r="C348" s="29" t="s">
        <v>20</v>
      </c>
      <c r="D348" s="26">
        <v>3490</v>
      </c>
      <c r="E348" s="27" t="s">
        <v>11</v>
      </c>
      <c r="F348" s="15">
        <f>=IF(E348="水上",D348,D348*-1)</f>
        <v>-3490</v>
      </c>
      <c r="G348" s="16">
        <f>=IF(F348&gt;0,F348*(1-B348),F348)</f>
        <v>-3490</v>
      </c>
    </row>
    <row r="349" spans="1:7">
      <c r="A349" s="11">
        <v>45635</v>
      </c>
      <c r="B349" s="12">
        <v>0.0308</v>
      </c>
      <c r="C349" s="22" t="s">
        <v>22</v>
      </c>
      <c r="D349" s="15">
        <v>200</v>
      </c>
      <c r="E349" s="18" t="s">
        <v>11</v>
      </c>
      <c r="F349" s="15">
        <f>=IF(E349="水上",D349,D349*-1)</f>
        <v>-200</v>
      </c>
      <c r="G349" s="16">
        <f>=IF(F349&gt;0,F349*(1-B349),F349)</f>
        <v>-200</v>
      </c>
    </row>
    <row r="350" spans="1:7">
      <c r="A350" s="11">
        <v>45635</v>
      </c>
      <c r="B350" s="12">
        <v>0.0308</v>
      </c>
      <c r="C350" s="22" t="s">
        <v>10</v>
      </c>
      <c r="D350" s="15">
        <v>4000</v>
      </c>
      <c r="E350" s="18" t="s">
        <v>11</v>
      </c>
      <c r="F350" s="15">
        <f>=IF(E350="水上",D350,D350*-1)</f>
        <v>-4000</v>
      </c>
      <c r="G350" s="16">
        <f>=IF(F350&gt;0,F350*(1-B350),F350)</f>
        <v>-4000</v>
      </c>
    </row>
    <row r="351" spans="1:7">
      <c r="A351" s="11">
        <v>45635</v>
      </c>
      <c r="B351" s="12">
        <v>0.0308</v>
      </c>
      <c r="C351" s="29" t="s">
        <v>12</v>
      </c>
      <c r="D351" s="15">
        <v>3000</v>
      </c>
      <c r="E351" s="18" t="s">
        <v>11</v>
      </c>
      <c r="F351" s="15">
        <f>=IF(E351="水上",D351,D351*-1)</f>
        <v>-3000</v>
      </c>
      <c r="G351" s="16">
        <f>=IF(F351&gt;0,F351*(1-B351),F351)</f>
        <v>-3000</v>
      </c>
    </row>
    <row r="352" spans="1:7">
      <c r="A352" s="11">
        <v>45635</v>
      </c>
      <c r="B352" s="12">
        <v>0.0308</v>
      </c>
      <c r="C352" s="29" t="s">
        <v>25</v>
      </c>
      <c r="D352" s="15">
        <v>520</v>
      </c>
      <c r="E352" s="18" t="s">
        <v>13</v>
      </c>
      <c r="F352" s="15">
        <f>=IF(E352="水上",D352,D352*-1)</f>
        <v>520</v>
      </c>
      <c r="G352" s="16">
        <f>=IF(F352&gt;0,F352*(1-B352),F352)</f>
        <v>503.984</v>
      </c>
    </row>
    <row r="353" spans="1:7">
      <c r="A353" s="11">
        <v>45635</v>
      </c>
      <c r="B353" s="12">
        <v>0.0308</v>
      </c>
      <c r="C353" s="22" t="s">
        <v>14</v>
      </c>
      <c r="D353" s="15">
        <v>1035</v>
      </c>
      <c r="E353" s="18" t="s">
        <v>13</v>
      </c>
      <c r="F353" s="15">
        <f>=IF(E353="水上",D353,D353*-1)</f>
        <v>1035</v>
      </c>
      <c r="G353" s="16">
        <f>=IF(F353&gt;0,F353*(1-B353),F353)</f>
        <v>1003.122</v>
      </c>
    </row>
    <row r="354" spans="1:7">
      <c r="A354" s="11">
        <v>45635</v>
      </c>
      <c r="B354" s="12">
        <v>0.0308</v>
      </c>
      <c r="C354" s="22" t="s">
        <v>23</v>
      </c>
      <c r="D354" s="15">
        <v>450</v>
      </c>
      <c r="E354" s="18" t="s">
        <v>11</v>
      </c>
      <c r="F354" s="15">
        <f>=IF(E354="水上",D354,D354*-1)</f>
        <v>-450</v>
      </c>
      <c r="G354" s="16">
        <f>=IF(F354&gt;0,F354*(1-B354),F354)</f>
        <v>-450</v>
      </c>
    </row>
    <row r="355" spans="1:7">
      <c r="A355" s="11">
        <v>45635</v>
      </c>
      <c r="B355" s="12">
        <v>0.0308</v>
      </c>
      <c r="C355" s="28" t="s">
        <v>16</v>
      </c>
      <c r="D355" s="15">
        <v>4250</v>
      </c>
      <c r="E355" s="18" t="s">
        <v>13</v>
      </c>
      <c r="F355" s="15">
        <f>=IF(E355="水上",D355,D355*-1)</f>
        <v>4250</v>
      </c>
      <c r="G355" s="16">
        <f>=IF(F355&gt;0,F355*(1-B355),F355)</f>
        <v>4119.1</v>
      </c>
    </row>
    <row r="356" spans="1:7">
      <c r="A356" s="11">
        <v>45635</v>
      </c>
      <c r="B356" s="12">
        <v>0.0308</v>
      </c>
      <c r="C356" s="22" t="s">
        <v>15</v>
      </c>
      <c r="D356" s="15">
        <v>1170</v>
      </c>
      <c r="E356" s="18" t="s">
        <v>13</v>
      </c>
      <c r="F356" s="15">
        <f>=IF(E356="水上",D356,D356*-1)</f>
        <v>1170</v>
      </c>
      <c r="G356" s="16">
        <f>=IF(F356&gt;0,F356*(1-B356),F356)</f>
        <v>1133.964</v>
      </c>
    </row>
    <row r="357" spans="1:7">
      <c r="A357" s="11">
        <v>45635</v>
      </c>
      <c r="B357" s="12">
        <v>0.0308</v>
      </c>
      <c r="C357" s="22" t="s">
        <v>18</v>
      </c>
      <c r="D357" s="15">
        <v>2380</v>
      </c>
      <c r="E357" s="18" t="s">
        <v>11</v>
      </c>
      <c r="F357" s="15">
        <f>=IF(E357="水上",D357,D357*-1)</f>
        <v>-2380</v>
      </c>
      <c r="G357" s="16">
        <f>=IF(F357&gt;0,F357*(1-B357),F357)</f>
        <v>-2380</v>
      </c>
    </row>
    <row r="358" spans="1:7">
      <c r="A358" s="24">
        <v>45635</v>
      </c>
      <c r="B358" s="25">
        <v>0.0308</v>
      </c>
      <c r="C358" s="29" t="s">
        <v>20</v>
      </c>
      <c r="D358" s="15">
        <v>2850</v>
      </c>
      <c r="E358" s="18" t="s">
        <v>13</v>
      </c>
      <c r="F358" s="15">
        <f>=IF(E358="水上",D358,D358*-1)</f>
        <v>2850</v>
      </c>
      <c r="G358" s="16">
        <f>=IF(F358&gt;0,F358*(1-B358),F358)</f>
        <v>2762.22</v>
      </c>
    </row>
    <row r="359" spans="1:7">
      <c r="A359" s="11">
        <v>45631</v>
      </c>
      <c r="B359" s="12">
        <v>0.0997</v>
      </c>
      <c r="C359" s="22" t="s">
        <v>22</v>
      </c>
      <c r="D359" s="26">
        <v>600</v>
      </c>
      <c r="E359" s="18" t="s">
        <v>13</v>
      </c>
      <c r="F359" s="15">
        <f>=IF(E359="水上",D359,D359*-1)</f>
        <v>600</v>
      </c>
      <c r="G359" s="16">
        <f>=IF(F359&gt;0,F359*(1-B359),F359)</f>
        <v>540.18</v>
      </c>
    </row>
    <row r="360" spans="1:7">
      <c r="A360" s="11">
        <v>45631</v>
      </c>
      <c r="B360" s="12">
        <v>0.0997</v>
      </c>
      <c r="C360" s="22" t="s">
        <v>14</v>
      </c>
      <c r="D360" s="26">
        <v>285</v>
      </c>
      <c r="E360" s="18" t="s">
        <v>13</v>
      </c>
      <c r="F360" s="15">
        <f>=IF(E360="水上",D360,D360*-1)</f>
        <v>285</v>
      </c>
      <c r="G360" s="16">
        <f>=IF(F360&gt;0,F360*(1-B360),F360)</f>
        <v>256.5855</v>
      </c>
    </row>
    <row r="361" spans="1:7">
      <c r="A361" s="11">
        <v>45631</v>
      </c>
      <c r="B361" s="12">
        <v>0.0997</v>
      </c>
      <c r="C361" s="17" t="s">
        <v>23</v>
      </c>
      <c r="D361" s="29">
        <v>600</v>
      </c>
      <c r="E361" s="18" t="s">
        <v>11</v>
      </c>
      <c r="F361" s="15">
        <f>=IF(E361="水上",D361,D361*-1)</f>
        <v>-600</v>
      </c>
      <c r="G361" s="16">
        <f>=IF(F361&gt;0,F361*(1-B361),F361)</f>
        <v>-600</v>
      </c>
    </row>
    <row r="362" spans="1:7">
      <c r="A362" s="11">
        <v>45631</v>
      </c>
      <c r="B362" s="12">
        <v>0.0997</v>
      </c>
      <c r="C362" s="22" t="s">
        <v>18</v>
      </c>
      <c r="D362" s="26">
        <v>880</v>
      </c>
      <c r="E362" s="18" t="s">
        <v>13</v>
      </c>
      <c r="F362" s="15">
        <f>=IF(E362="水上",D362,D362*-1)</f>
        <v>880</v>
      </c>
      <c r="G362" s="16">
        <f>=IF(F362&gt;0,F362*(1-B362),F362)</f>
        <v>792.264</v>
      </c>
    </row>
    <row r="363" spans="1:7">
      <c r="A363" s="24">
        <v>45631</v>
      </c>
      <c r="B363" s="25">
        <v>0.0997</v>
      </c>
      <c r="C363" s="29" t="s">
        <v>20</v>
      </c>
      <c r="D363" s="29">
        <v>1285</v>
      </c>
      <c r="E363" s="18" t="s">
        <v>11</v>
      </c>
      <c r="F363" s="15">
        <f>=IF(E363="水上",D363,D363*-1)</f>
        <v>-1285</v>
      </c>
      <c r="G363" s="16">
        <f>=IF(F363&gt;0,F363*(1-B363),F363)</f>
        <v>-1285</v>
      </c>
    </row>
    <row r="364" spans="1:7">
      <c r="A364" s="11">
        <v>45629</v>
      </c>
      <c r="B364" s="12">
        <v>0.0947</v>
      </c>
      <c r="C364" s="15" t="s">
        <v>12</v>
      </c>
      <c r="D364" s="15">
        <v>500</v>
      </c>
      <c r="E364" s="18" t="s">
        <v>13</v>
      </c>
      <c r="F364" s="15">
        <f>=IF(E364="水上",D364,D364*-1)</f>
        <v>500</v>
      </c>
      <c r="G364" s="16">
        <f>=IF(F364&gt;0,F364*(1-B364),F364)</f>
        <v>452.65</v>
      </c>
    </row>
    <row r="365" spans="1:7">
      <c r="A365" s="11">
        <v>45629</v>
      </c>
      <c r="B365" s="12">
        <v>0.0947</v>
      </c>
      <c r="C365" s="22" t="s">
        <v>18</v>
      </c>
      <c r="D365" s="15">
        <v>1750</v>
      </c>
      <c r="E365" s="18" t="s">
        <v>11</v>
      </c>
      <c r="F365" s="15">
        <f>=IF(E365="水上",D365,D365*-1)</f>
        <v>-1750</v>
      </c>
      <c r="G365" s="16">
        <f>=IF(F365&gt;0,F365*(1-B365),F365)</f>
        <v>-1750</v>
      </c>
    </row>
    <row r="366" spans="1:7">
      <c r="A366" s="11">
        <v>45629</v>
      </c>
      <c r="B366" s="12">
        <v>0.0947</v>
      </c>
      <c r="C366" s="22" t="s">
        <v>19</v>
      </c>
      <c r="D366" s="15">
        <v>500</v>
      </c>
      <c r="E366" s="18" t="s">
        <v>11</v>
      </c>
      <c r="F366" s="15">
        <f>=IF(E366="水上",D366,D366*-1)</f>
        <v>-500</v>
      </c>
      <c r="G366" s="16">
        <f>=IF(F366&gt;0,F366*(1-B366),F366)</f>
        <v>-500</v>
      </c>
    </row>
    <row r="367" spans="1:7">
      <c r="A367" s="11">
        <v>45629</v>
      </c>
      <c r="B367" s="12">
        <v>0.0947</v>
      </c>
      <c r="C367" s="29" t="s">
        <v>20</v>
      </c>
      <c r="D367" s="15">
        <v>1620</v>
      </c>
      <c r="E367" s="18" t="s">
        <v>13</v>
      </c>
      <c r="F367" s="15">
        <f>=IF(E367="水上",D367,D367*-1)</f>
        <v>1620</v>
      </c>
      <c r="G367" s="16">
        <f>=IF(F367&gt;0,F367*(1-B367),F367)</f>
        <v>1466.586</v>
      </c>
    </row>
    <row r="368" spans="1:7">
      <c r="A368" s="11">
        <v>45628</v>
      </c>
      <c r="B368" s="12">
        <v>0.0444</v>
      </c>
      <c r="C368" s="22" t="s">
        <v>22</v>
      </c>
      <c r="D368" s="15">
        <v>3940</v>
      </c>
      <c r="E368" s="30" t="s">
        <v>13</v>
      </c>
      <c r="F368" s="15">
        <f>=IF(E368="水上",D368,D368*-1)</f>
        <v>3940</v>
      </c>
      <c r="G368" s="16">
        <f>=IF(F368&gt;0,F368*(1-B368),F368)</f>
        <v>3765.064</v>
      </c>
    </row>
    <row r="369" spans="1:7">
      <c r="A369" s="11">
        <v>45628</v>
      </c>
      <c r="B369" s="12">
        <v>0.0444</v>
      </c>
      <c r="C369" s="22" t="s">
        <v>10</v>
      </c>
      <c r="D369" s="15">
        <v>900</v>
      </c>
      <c r="E369" s="18" t="s">
        <v>11</v>
      </c>
      <c r="F369" s="15">
        <f>=IF(E369="水上",D369,D369*-1)</f>
        <v>-900</v>
      </c>
      <c r="G369" s="16">
        <f>=IF(F369&gt;0,F369*(1-B369),F369)</f>
        <v>-900</v>
      </c>
    </row>
    <row r="370" spans="1:7">
      <c r="A370" s="11">
        <v>45628</v>
      </c>
      <c r="B370" s="12">
        <v>0.0444</v>
      </c>
      <c r="C370" s="22" t="s">
        <v>14</v>
      </c>
      <c r="D370" s="15">
        <v>365</v>
      </c>
      <c r="E370" s="18" t="s">
        <v>11</v>
      </c>
      <c r="F370" s="15">
        <f>=IF(E370="水上",D370,D370*-1)</f>
        <v>-365</v>
      </c>
      <c r="G370" s="16">
        <f>=IF(F370&gt;0,F370*(1-B370),F370)</f>
        <v>-365</v>
      </c>
    </row>
    <row r="371" spans="1:7">
      <c r="A371" s="11">
        <v>45628</v>
      </c>
      <c r="B371" s="12">
        <v>0.0444</v>
      </c>
      <c r="C371" s="22" t="s">
        <v>23</v>
      </c>
      <c r="D371" s="15">
        <v>250</v>
      </c>
      <c r="E371" s="18" t="s">
        <v>11</v>
      </c>
      <c r="F371" s="15">
        <f>=IF(E371="水上",D371,D371*-1)</f>
        <v>-250</v>
      </c>
      <c r="G371" s="16">
        <f>=IF(F371&gt;0,F371*(1-B371),F371)</f>
        <v>-250</v>
      </c>
    </row>
    <row r="372" spans="1:7">
      <c r="A372" s="11">
        <v>45628</v>
      </c>
      <c r="B372" s="12">
        <v>0.0444</v>
      </c>
      <c r="C372" s="22" t="s">
        <v>16</v>
      </c>
      <c r="D372" s="15">
        <v>1310</v>
      </c>
      <c r="E372" s="18" t="s">
        <v>11</v>
      </c>
      <c r="F372" s="15">
        <f>=IF(E372="水上",D372,D372*-1)</f>
        <v>-1310</v>
      </c>
      <c r="G372" s="16">
        <f>=IF(F372&gt;0,F372*(1-B372),F372)</f>
        <v>-1310</v>
      </c>
    </row>
    <row r="373" spans="1:7">
      <c r="A373" s="11">
        <v>45628</v>
      </c>
      <c r="B373" s="12">
        <v>0.0444</v>
      </c>
      <c r="C373" s="22" t="s">
        <v>18</v>
      </c>
      <c r="D373" s="15">
        <v>1400</v>
      </c>
      <c r="E373" s="18" t="s">
        <v>11</v>
      </c>
      <c r="F373" s="15">
        <f>=IF(E373="水上",D373,D373*-1)</f>
        <v>-1400</v>
      </c>
      <c r="G373" s="16">
        <f>=IF(F373&gt;0,F373*(1-B373),F373)</f>
        <v>-1400</v>
      </c>
    </row>
    <row r="374" spans="1:7">
      <c r="A374" s="11">
        <v>45628</v>
      </c>
      <c r="B374" s="12">
        <v>0.0444</v>
      </c>
      <c r="C374" s="22" t="s">
        <v>19</v>
      </c>
      <c r="D374" s="15">
        <v>500</v>
      </c>
      <c r="E374" s="18" t="s">
        <v>11</v>
      </c>
      <c r="F374" s="15">
        <f>=IF(E374="水上",D374,D374*-1)</f>
        <v>-500</v>
      </c>
      <c r="G374" s="16">
        <f>=IF(F374&gt;0,F374*(1-B374),F374)</f>
        <v>-500</v>
      </c>
    </row>
    <row r="375" spans="1:7">
      <c r="A375" s="11">
        <v>45628</v>
      </c>
      <c r="B375" s="12">
        <v>0.0444</v>
      </c>
      <c r="C375" s="26" t="s">
        <v>20</v>
      </c>
      <c r="D375" s="15">
        <v>510</v>
      </c>
      <c r="E375" s="18" t="s">
        <v>13</v>
      </c>
      <c r="F375" s="15">
        <f>=IF(E375="水上",D375,D375*-1)</f>
        <v>510</v>
      </c>
      <c r="G375" s="16">
        <f>=IF(F375&gt;0,F375*(1-B375),F375)</f>
        <v>487.356</v>
      </c>
    </row>
    <row r="376" spans="1:7">
      <c r="A376" s="11">
        <v>45623</v>
      </c>
      <c r="B376" s="12">
        <v>0.0443</v>
      </c>
      <c r="C376" s="17" t="s">
        <v>22</v>
      </c>
      <c r="D376" s="15">
        <v>1140</v>
      </c>
      <c r="E376" s="30" t="s">
        <v>13</v>
      </c>
      <c r="F376" s="15">
        <f>=IF(E376="水上",D376,D376*-1)</f>
        <v>1140</v>
      </c>
      <c r="G376" s="16">
        <f>=IF(F376&gt;0,F376*(1-B376),F376)</f>
        <v>1089.498</v>
      </c>
    </row>
    <row r="377" spans="1:7">
      <c r="A377" s="11">
        <v>45623</v>
      </c>
      <c r="B377" s="12">
        <v>0.0443</v>
      </c>
      <c r="C377" s="17" t="s">
        <v>10</v>
      </c>
      <c r="D377" s="15">
        <v>1350</v>
      </c>
      <c r="E377" s="18" t="s">
        <v>13</v>
      </c>
      <c r="F377" s="15">
        <f>=IF(E377="水上",D377,D377*-1)</f>
        <v>1350</v>
      </c>
      <c r="G377" s="16">
        <f>=IF(F377&gt;0,F377*(1-B377),F377)</f>
        <v>1290.195</v>
      </c>
    </row>
    <row r="378" spans="1:7">
      <c r="A378" s="11">
        <v>45623</v>
      </c>
      <c r="B378" s="12">
        <v>0.0443</v>
      </c>
      <c r="C378" s="17" t="s">
        <v>23</v>
      </c>
      <c r="D378" s="15">
        <v>500</v>
      </c>
      <c r="E378" s="18" t="s">
        <v>11</v>
      </c>
      <c r="F378" s="15">
        <f>=IF(E378="水上",D378,D378*-1)</f>
        <v>-500</v>
      </c>
      <c r="G378" s="16">
        <f>=IF(F378&gt;0,F378*(1-B378),F378)</f>
        <v>-500</v>
      </c>
    </row>
    <row r="379" spans="1:7">
      <c r="A379" s="11">
        <v>45623</v>
      </c>
      <c r="B379" s="12">
        <v>0.0443</v>
      </c>
      <c r="C379" s="17" t="s">
        <v>16</v>
      </c>
      <c r="D379" s="15">
        <v>1200</v>
      </c>
      <c r="E379" s="18" t="s">
        <v>13</v>
      </c>
      <c r="F379" s="15">
        <f>=IF(E379="水上",D379,D379*-1)</f>
        <v>1200</v>
      </c>
      <c r="G379" s="16">
        <f>=IF(F379&gt;0,F379*(1-B379),F379)</f>
        <v>1146.84</v>
      </c>
    </row>
    <row r="380" spans="1:7">
      <c r="A380" s="11">
        <v>45623</v>
      </c>
      <c r="B380" s="12">
        <v>0.0443</v>
      </c>
      <c r="C380" s="17" t="s">
        <v>18</v>
      </c>
      <c r="D380" s="15">
        <v>1150</v>
      </c>
      <c r="E380" s="18" t="s">
        <v>11</v>
      </c>
      <c r="F380" s="15">
        <f>=IF(E380="水上",D380,D380*-1)</f>
        <v>-1150</v>
      </c>
      <c r="G380" s="16">
        <f>=IF(F380&gt;0,F380*(1-B380),F380)</f>
        <v>-1150</v>
      </c>
    </row>
    <row r="381" spans="1:7">
      <c r="A381" s="11">
        <v>45623</v>
      </c>
      <c r="B381" s="12">
        <v>0.0443</v>
      </c>
      <c r="C381" s="17" t="s">
        <v>19</v>
      </c>
      <c r="D381" s="15">
        <v>360</v>
      </c>
      <c r="E381" s="18" t="s">
        <v>13</v>
      </c>
      <c r="F381" s="15">
        <f>=IF(E381="水上",D381,D381*-1)</f>
        <v>360</v>
      </c>
      <c r="G381" s="16">
        <f>=IF(F381&gt;0,F381*(1-B381),F381)</f>
        <v>344.052</v>
      </c>
    </row>
    <row r="382" spans="1:7">
      <c r="A382" s="24">
        <v>45623</v>
      </c>
      <c r="B382" s="25">
        <v>0.0443</v>
      </c>
      <c r="C382" s="15" t="s">
        <v>20</v>
      </c>
      <c r="D382" s="15">
        <v>2500</v>
      </c>
      <c r="E382" s="18" t="s">
        <v>11</v>
      </c>
      <c r="F382" s="15">
        <f>=IF(E382="水上",D382,D382*-1)</f>
        <v>-2500</v>
      </c>
      <c r="G382" s="16">
        <f>=IF(F382&gt;0,F382*(1-B382),F382)</f>
        <v>-2500</v>
      </c>
    </row>
    <row r="383" spans="1:7">
      <c r="A383" s="11">
        <v>45622</v>
      </c>
      <c r="B383" s="12">
        <v>0.0854</v>
      </c>
      <c r="C383" s="22" t="s">
        <v>22</v>
      </c>
      <c r="D383" s="15">
        <v>100</v>
      </c>
      <c r="E383" s="30" t="s">
        <v>11</v>
      </c>
      <c r="F383" s="15">
        <f>=IF(E383="水上",D383,D383*-1)</f>
        <v>-100</v>
      </c>
      <c r="G383" s="16">
        <f>=IF(F383&gt;0,F383*(1-B383),F383)</f>
        <v>-100</v>
      </c>
    </row>
    <row r="384" spans="1:7">
      <c r="A384" s="11">
        <v>45622</v>
      </c>
      <c r="B384" s="12">
        <v>0.0854</v>
      </c>
      <c r="C384" s="22" t="s">
        <v>10</v>
      </c>
      <c r="D384" s="15">
        <v>1800</v>
      </c>
      <c r="E384" s="18" t="s">
        <v>11</v>
      </c>
      <c r="F384" s="15">
        <f>=IF(E384="水上",D384,D384*-1)</f>
        <v>-1800</v>
      </c>
      <c r="G384" s="16">
        <f>=IF(F384&gt;0,F384*(1-B384),F384)</f>
        <v>-1800</v>
      </c>
    </row>
    <row r="385" spans="1:7">
      <c r="A385" s="11">
        <v>45622</v>
      </c>
      <c r="B385" s="12">
        <v>0.0854</v>
      </c>
      <c r="C385" s="29" t="s">
        <v>12</v>
      </c>
      <c r="D385" s="15">
        <v>890</v>
      </c>
      <c r="E385" s="18" t="s">
        <v>11</v>
      </c>
      <c r="F385" s="15">
        <f>=IF(E385="水上",D385,D385*-1)</f>
        <v>-890</v>
      </c>
      <c r="G385" s="16">
        <f>=IF(F385&gt;0,F385*(1-B385),F385)</f>
        <v>-890</v>
      </c>
    </row>
    <row r="386" spans="1:7">
      <c r="A386" s="11">
        <v>45622</v>
      </c>
      <c r="B386" s="12">
        <v>0.0854</v>
      </c>
      <c r="C386" s="28" t="s">
        <v>14</v>
      </c>
      <c r="D386" s="15">
        <v>750</v>
      </c>
      <c r="E386" s="18" t="s">
        <v>13</v>
      </c>
      <c r="F386" s="15">
        <f>=IF(E386="水上",D386,D386*-1)</f>
        <v>750</v>
      </c>
      <c r="G386" s="16">
        <f>=IF(F386&gt;0,F386*(1-B386),F386)</f>
        <v>685.95</v>
      </c>
    </row>
    <row r="387" spans="1:7">
      <c r="A387" s="11">
        <v>45622</v>
      </c>
      <c r="B387" s="12">
        <v>0.0854</v>
      </c>
      <c r="C387" s="22" t="s">
        <v>23</v>
      </c>
      <c r="D387" s="15">
        <v>700</v>
      </c>
      <c r="E387" s="18" t="s">
        <v>11</v>
      </c>
      <c r="F387" s="15">
        <f>=IF(E387="水上",D387,D387*-1)</f>
        <v>-700</v>
      </c>
      <c r="G387" s="16">
        <f>=IF(F387&gt;0,F387*(1-B387),F387)</f>
        <v>-700</v>
      </c>
    </row>
    <row r="388" spans="1:7">
      <c r="A388" s="11">
        <v>45622</v>
      </c>
      <c r="B388" s="12">
        <v>0.0854</v>
      </c>
      <c r="C388" s="22" t="s">
        <v>18</v>
      </c>
      <c r="D388" s="15">
        <v>1500</v>
      </c>
      <c r="E388" s="18" t="s">
        <v>13</v>
      </c>
      <c r="F388" s="15">
        <f>=IF(E388="水上",D388,D388*-1)</f>
        <v>1500</v>
      </c>
      <c r="G388" s="16">
        <f>=IF(F388&gt;0,F388*(1-B388),F388)</f>
        <v>1371.9</v>
      </c>
    </row>
    <row r="389" spans="1:7">
      <c r="A389" s="11">
        <v>45622</v>
      </c>
      <c r="B389" s="12">
        <v>0.0854</v>
      </c>
      <c r="C389" s="22" t="s">
        <v>19</v>
      </c>
      <c r="D389" s="15">
        <v>280</v>
      </c>
      <c r="E389" s="18" t="s">
        <v>11</v>
      </c>
      <c r="F389" s="15">
        <f>=IF(E389="水上",D389,D389*-1)</f>
        <v>-280</v>
      </c>
      <c r="G389" s="16">
        <f>=IF(F389&gt;0,F389*(1-B389),F389)</f>
        <v>-280</v>
      </c>
    </row>
    <row r="390" spans="1:7">
      <c r="A390" s="11">
        <v>45622</v>
      </c>
      <c r="B390" s="12">
        <v>0.0854</v>
      </c>
      <c r="C390" s="29" t="s">
        <v>20</v>
      </c>
      <c r="D390" s="15">
        <v>1290</v>
      </c>
      <c r="E390" s="18" t="s">
        <v>13</v>
      </c>
      <c r="F390" s="15">
        <f>=IF(E390="水上",D390,D390*-1)</f>
        <v>1290</v>
      </c>
      <c r="G390" s="16">
        <f>=IF(F390&gt;0,F390*(1-B390),F390)</f>
        <v>1179.834</v>
      </c>
    </row>
    <row r="391" spans="1:7">
      <c r="A391" s="11">
        <v>45618</v>
      </c>
      <c r="B391" s="12">
        <v>0.108</v>
      </c>
      <c r="C391" s="17" t="s">
        <v>22</v>
      </c>
      <c r="D391" s="15">
        <v>700</v>
      </c>
      <c r="E391" s="30" t="s">
        <v>13</v>
      </c>
      <c r="F391" s="15">
        <f>=IF(E391="水上",D391,D391*-1)</f>
        <v>700</v>
      </c>
      <c r="G391" s="16">
        <f>=IF(F391&gt;0,F391*(1-B391),F391)</f>
        <v>624.4</v>
      </c>
    </row>
    <row r="392" spans="1:7">
      <c r="A392" s="11">
        <v>45618</v>
      </c>
      <c r="B392" s="12">
        <v>0.108</v>
      </c>
      <c r="C392" s="17" t="s">
        <v>10</v>
      </c>
      <c r="D392" s="15">
        <v>800</v>
      </c>
      <c r="E392" s="18" t="s">
        <v>13</v>
      </c>
      <c r="F392" s="15">
        <f>=IF(E392="水上",D392,D392*-1)</f>
        <v>800</v>
      </c>
      <c r="G392" s="16">
        <f>=IF(F392&gt;0,F392*(1-B392),F392)</f>
        <v>713.6</v>
      </c>
    </row>
    <row r="393" spans="1:7">
      <c r="A393" s="11">
        <v>45618</v>
      </c>
      <c r="B393" s="12">
        <v>0.108</v>
      </c>
      <c r="C393" s="15" t="s">
        <v>12</v>
      </c>
      <c r="D393" s="15">
        <v>830</v>
      </c>
      <c r="E393" s="18" t="s">
        <v>13</v>
      </c>
      <c r="F393" s="15">
        <f>=IF(E393="水上",D393,D393*-1)</f>
        <v>830</v>
      </c>
      <c r="G393" s="16">
        <f>=IF(F393&gt;0,F393*(1-B393),F393)</f>
        <v>740.36</v>
      </c>
    </row>
    <row r="394" spans="1:7">
      <c r="A394" s="11">
        <v>45618</v>
      </c>
      <c r="B394" s="12">
        <v>0.108</v>
      </c>
      <c r="C394" s="15" t="s">
        <v>25</v>
      </c>
      <c r="D394" s="15">
        <v>250</v>
      </c>
      <c r="E394" s="18" t="s">
        <v>13</v>
      </c>
      <c r="F394" s="15">
        <f>=IF(E394="水上",D394,D394*-1)</f>
        <v>250</v>
      </c>
      <c r="G394" s="16">
        <f>=IF(F394&gt;0,F394*(1-B394),F394)</f>
        <v>223</v>
      </c>
    </row>
    <row r="395" spans="1:7">
      <c r="A395" s="11">
        <v>45618</v>
      </c>
      <c r="B395" s="12">
        <v>0.108</v>
      </c>
      <c r="C395" s="17" t="s">
        <v>14</v>
      </c>
      <c r="D395" s="15">
        <v>750</v>
      </c>
      <c r="E395" s="18" t="s">
        <v>11</v>
      </c>
      <c r="F395" s="15">
        <f>=IF(E395="水上",D395,D395*-1)</f>
        <v>-750</v>
      </c>
      <c r="G395" s="16">
        <f>=IF(F395&gt;0,F395*(1-B395),F395)</f>
        <v>-750</v>
      </c>
    </row>
    <row r="396" spans="1:7">
      <c r="A396" s="11">
        <v>45618</v>
      </c>
      <c r="B396" s="12">
        <v>0.108</v>
      </c>
      <c r="C396" s="17" t="s">
        <v>23</v>
      </c>
      <c r="D396" s="15">
        <v>1870</v>
      </c>
      <c r="E396" s="18" t="s">
        <v>11</v>
      </c>
      <c r="F396" s="15">
        <f>=IF(E396="水上",D396,D396*-1)</f>
        <v>-1870</v>
      </c>
      <c r="G396" s="16">
        <f>=IF(F396&gt;0,F396*(1-B396),F396)</f>
        <v>-1870</v>
      </c>
    </row>
  </sheetData>
  <autoFilter ref="A1:G396">
    <sortState ref="A2:G396"/>
  </autoFilter>
  <dataValidations>
    <dataValidation type="list" errorStyle="stop" allowBlank="true" showDropDown="false" showInputMessage="true" showErrorMessage="true" prompt="" sqref="E2">
      <formula1>"水上,水下,水平,未参与,"</formula1>
    </dataValidation>
    <dataValidation type="list" errorStyle="stop" showInputMessage="true" showErrorMessage="true" prompt="" sqref="E3:E12">
      <formula1>"水上,水下,水平,未参与,"</formula1>
      <formula2/>
    </dataValidation>
    <dataValidation type="list" errorStyle="stop" allowBlank="true" showDropDown="false" showInputMessage="true" showErrorMessage="true" prompt="" sqref="E13:E281">
      <formula1>"水上,水下,水平,未参与,"</formula1>
    </dataValidation>
    <dataValidation type="list" errorStyle="stop" allowBlank="true" showDropDown="false" showInputMessage="true" showErrorMessage="true" prompt="" sqref="E282:E396">
      <formula1>"水上,水下,水平,"</formula1>
    </dataValidation>
  </dataValidations>
</worksheet>
</file>

<file path=xl/worksheets/sheet3.xml><?xml version="1.0" encoding="utf-8"?>
<worksheet xmlns="http://schemas.openxmlformats.org/spreadsheetml/2006/main">
  <sheetPr codeName="团建天梯榜">
    <tabColor/>
  </sheetPr>
  <dimension ref="I21"/>
  <sheetViews>
    <sheetView showGridLines="true" workbookViewId="0"/>
  </sheetViews>
  <sheetFormatPr baseColWidth="13" defaultRowHeight="18" customHeight="true"/>
  <sheetData>
    <row r="1" spans="1:9">
      <c r="A1" s="57" t="s">
        <v>45</v>
      </c>
      <c r="B1" s="58" t="s">
        <v>46</v>
      </c>
      <c r="C1" s="58" t="s">
        <v>47</v>
      </c>
      <c r="D1" s="59" t="s">
        <v>48</v>
      </c>
      <c r="E1" s="60" t="s">
        <v>49</v>
      </c>
      <c r="F1" s="60" t="s">
        <v>50</v>
      </c>
      <c r="G1" s="61" t="s">
        <v>13</v>
      </c>
      <c r="H1" s="60" t="s">
        <v>11</v>
      </c>
      <c r="I1" s="60" t="s">
        <v>9</v>
      </c>
    </row>
    <row r="2" spans="1:9">
      <c r="A2" s="17">
        <v>1</v>
      </c>
      <c r="B2" s="17">
        <v>1</v>
      </c>
      <c r="C2" s="62" t="s">
        <v>18</v>
      </c>
      <c r="D2" s="63">
        <f>=G2/F2</f>
        <v>0.574468085106383</v>
      </c>
      <c r="E2" s="64">
        <f>=SUMIF(团建记录表!C2:C399,C2,团建记录表!G2:G399)</f>
        <v>10039.2215</v>
      </c>
      <c r="F2" s="15">
        <f>=COUNTIF(团建记录表!C2:C396,C2)</f>
        <v>47</v>
      </c>
      <c r="G2" s="15">
        <f>=COUNTIFS(团建记录表!C2:C396,C2,团建记录表!E2:E396,"=水上")</f>
        <v>27</v>
      </c>
      <c r="H2" s="15">
        <f>=COUNTIFS(团建记录表!C2:C396,C2,团建记录表!E2:E396,"=水下")</f>
        <v>17</v>
      </c>
      <c r="I2" s="15">
        <f>=COUNTIFS(团建记录表!C2:C396,C2,团建记录表!E2:E396,"=水平")</f>
        <v>3</v>
      </c>
    </row>
    <row r="3" spans="1:9">
      <c r="A3" s="17">
        <v>2</v>
      </c>
      <c r="B3" s="17">
        <v>2</v>
      </c>
      <c r="C3" s="65" t="s">
        <v>25</v>
      </c>
      <c r="D3" s="66">
        <f>=G3/F3</f>
        <v>0.8</v>
      </c>
      <c r="E3" s="64">
        <f>=SUMIF(团建记录表!C2:C399,C3,团建记录表!G2:G399)</f>
        <v>8870.645</v>
      </c>
      <c r="F3" s="15">
        <f>=COUNTIF(团建记录表!C2:C396,C3)</f>
        <v>20</v>
      </c>
      <c r="G3" s="15">
        <f>=COUNTIFS(团建记录表!C2:C396,C3,团建记录表!E2:E396,"=水上")</f>
        <v>16</v>
      </c>
      <c r="H3" s="15">
        <f>=COUNTIFS(团建记录表!C2:C396,C3,团建记录表!E2:E396,"=水下")</f>
        <v>4</v>
      </c>
      <c r="I3" s="15">
        <f>=COUNTIFS(团建记录表!C2:C396,C3,团建记录表!E2:E396,"=水平")</f>
        <v>0</v>
      </c>
    </row>
    <row r="4" spans="1:9">
      <c r="A4" s="17">
        <v>11</v>
      </c>
      <c r="B4" s="17">
        <v>3</v>
      </c>
      <c r="C4" s="67" t="s">
        <v>16</v>
      </c>
      <c r="D4" s="68">
        <f>=G4/F4</f>
        <v>0.542857142857143</v>
      </c>
      <c r="E4" s="64">
        <f>=SUMIF(团建记录表!C2:C399,C4,团建记录表!G2:G399)</f>
        <v>800.730999999999</v>
      </c>
      <c r="F4" s="15">
        <f>=COUNTIF(团建记录表!C2:C396,C4)</f>
        <v>35</v>
      </c>
      <c r="G4" s="15">
        <f>=COUNTIFS(团建记录表!C2:C396,C4,团建记录表!E2:E396,"=水上")</f>
        <v>19</v>
      </c>
      <c r="H4" s="15">
        <f>=COUNTIFS(团建记录表!C2:C396,C4,团建记录表!E2:E396,"=水下")</f>
        <v>16</v>
      </c>
      <c r="I4" s="15">
        <f>=COUNTIFS(团建记录表!C2:C396,C4,团建记录表!E2:E396,"=水平")</f>
        <v>0</v>
      </c>
    </row>
    <row r="5" spans="1:9">
      <c r="A5" s="17">
        <v>3</v>
      </c>
      <c r="B5" s="17">
        <v>4</v>
      </c>
      <c r="C5" s="69" t="s">
        <v>31</v>
      </c>
      <c r="D5" s="70">
        <f>=G5/F5</f>
        <v>1</v>
      </c>
      <c r="E5" s="64">
        <f>=SUMIF(团建记录表!C2:C399,C5,团建记录表!G2:G399)</f>
        <v>565.86</v>
      </c>
      <c r="F5" s="15">
        <f>=COUNTIF(团建记录表!C2:C396,C5)</f>
        <v>1</v>
      </c>
      <c r="G5" s="15">
        <f>=COUNTIFS(团建记录表!C2:C396,C5,团建记录表!E2:E396,"=水上")</f>
        <v>1</v>
      </c>
      <c r="H5" s="15">
        <f>=COUNTIFS(团建记录表!C2:C396,C5,团建记录表!E2:E396,"=水下")</f>
        <v>0</v>
      </c>
      <c r="I5" s="29">
        <f>=COUNTIFS(团建记录表!C2:C396,C5,团建记录表!E2:E396,"=水平")</f>
        <v>0</v>
      </c>
    </row>
    <row r="6" spans="1:9">
      <c r="A6" s="17">
        <v>8</v>
      </c>
      <c r="B6" s="17">
        <v>5</v>
      </c>
      <c r="C6" s="69" t="s">
        <v>12</v>
      </c>
      <c r="D6" s="70">
        <f>=G6/F6</f>
        <v>0.678571428571429</v>
      </c>
      <c r="E6" s="64">
        <f>=SUMIF(团建记录表!C2:C399,C6,团建记录表!G2:G399)</f>
        <v>543.721</v>
      </c>
      <c r="F6" s="15">
        <f>=COUNTIF(团建记录表!C2:C396,C6)</f>
        <v>28</v>
      </c>
      <c r="G6" s="15">
        <f>=COUNTIFS(团建记录表!C2:C396,C6,团建记录表!E2:E396,"=水上")</f>
        <v>19</v>
      </c>
      <c r="H6" s="15">
        <f>=COUNTIFS(团建记录表!C2:C396,C6,团建记录表!E2:E396,"=水下")</f>
        <v>9</v>
      </c>
      <c r="I6" s="15">
        <f>=COUNTIFS(团建记录表!C2:C396,C6,团建记录表!E2:E396,"=水平")</f>
        <v>0</v>
      </c>
    </row>
    <row r="7" spans="1:9">
      <c r="A7" s="17">
        <v>4</v>
      </c>
      <c r="B7" s="17">
        <v>6</v>
      </c>
      <c r="C7" s="69" t="s">
        <v>26</v>
      </c>
      <c r="D7" s="70">
        <f>=G7/F7</f>
        <v>0.666666666666667</v>
      </c>
      <c r="E7" s="71">
        <f>=SUMIF(团建记录表!C2:C401,C7,团建记录表!G2:G401)</f>
        <v>541.817</v>
      </c>
      <c r="F7" s="15">
        <f>=COUNTIF(团建记录表!C2:C398,C7)</f>
        <v>6</v>
      </c>
      <c r="G7" s="15">
        <f>=COUNTIFS(团建记录表!C2:C398,C7,团建记录表!E2:E398,"=水上")</f>
        <v>4</v>
      </c>
      <c r="H7" s="29">
        <f>=COUNTIFS(团建记录表!C2:C398,C7,团建记录表!E2:E398,"=水下")</f>
        <v>2</v>
      </c>
      <c r="I7" s="29">
        <f>=COUNTIFS(团建记录表!C2:C398,C7,团建记录表!E2:E398,"=水平")</f>
        <v>0</v>
      </c>
    </row>
    <row r="8" spans="1:9">
      <c r="A8" s="17">
        <v>6</v>
      </c>
      <c r="B8" s="17">
        <v>7</v>
      </c>
      <c r="C8" s="72" t="s">
        <v>51</v>
      </c>
      <c r="D8" s="73" t="s">
        <v>51</v>
      </c>
      <c r="E8" s="64">
        <f>=SUMIF(团建记录表!C2:C399,C8,团建记录表!G2:G399)</f>
        <v>0</v>
      </c>
      <c r="F8" s="15">
        <f>=COUNTIF(团建记录表!C2:C396,C8)</f>
        <v>0</v>
      </c>
      <c r="G8" s="15">
        <f>=COUNTIFS(团建记录表!C2:C396,C8,团建记录表!E2:E396,"=水上")</f>
        <v>0</v>
      </c>
      <c r="H8" s="15">
        <f>=COUNTIFS(团建记录表!C2:C396,C8,团建记录表!E2:E396,"=水下")</f>
        <v>0</v>
      </c>
      <c r="I8" s="26">
        <f>=COUNTIFS(团建记录表!C2:C396,C8,团建记录表!E2:E396,"=水平")</f>
        <v>0</v>
      </c>
    </row>
    <row r="9" spans="1:9">
      <c r="A9" s="17">
        <v>7</v>
      </c>
      <c r="B9" s="17">
        <v>8</v>
      </c>
      <c r="C9" s="65" t="s">
        <v>21</v>
      </c>
      <c r="D9" s="66">
        <f>=G9/F9</f>
        <v>0.75</v>
      </c>
      <c r="E9" s="64">
        <f>=SUMIF(团建记录表!C2:C399,C9,团建记录表!G2:G399)</f>
        <v>-72.0990000000001</v>
      </c>
      <c r="F9" s="15">
        <f>=COUNTIF(团建记录表!C2:C396,C9)</f>
        <v>4</v>
      </c>
      <c r="G9" s="15">
        <f>=COUNTIFS(团建记录表!C2:C396,C9,团建记录表!E2:E396,"=水上")</f>
        <v>3</v>
      </c>
      <c r="H9" s="15">
        <f>=COUNTIFS(团建记录表!C2:C396,C9,团建记录表!E2:E396,"=水下")</f>
        <v>1</v>
      </c>
      <c r="I9" s="15">
        <f>=COUNTIFS(团建记录表!C2:C396,C9,团建记录表!E2:E396,"=水平")</f>
        <v>0</v>
      </c>
    </row>
    <row r="10" spans="1:9">
      <c r="A10" s="17">
        <v>5</v>
      </c>
      <c r="B10" s="17">
        <v>9</v>
      </c>
      <c r="C10" s="69" t="s">
        <v>10</v>
      </c>
      <c r="D10" s="68">
        <f>=G10/F10</f>
        <v>0.586956521739131</v>
      </c>
      <c r="E10" s="64">
        <f>=SUMIF(团建记录表!C2:C399,C10,团建记录表!G2:G399)</f>
        <v>-127.712000000001</v>
      </c>
      <c r="F10" s="15">
        <f>=COUNTIF(团建记录表!C2:C396,C10)</f>
        <v>46</v>
      </c>
      <c r="G10" s="15">
        <f>=COUNTIFS(团建记录表!C2:C396,C10,团建记录表!E2:E396,"=水上")</f>
        <v>27</v>
      </c>
      <c r="H10" s="15">
        <f>=COUNTIFS(团建记录表!C2:C396,C10,团建记录表!E2:E396,"=水下")</f>
        <v>18</v>
      </c>
      <c r="I10" s="15">
        <f>=COUNTIFS(团建记录表!C2:C396,C10,团建记录表!E2:E396,"=水平")</f>
        <v>1</v>
      </c>
    </row>
    <row r="11" spans="1:9">
      <c r="A11" s="17">
        <v>9</v>
      </c>
      <c r="B11" s="17">
        <v>10</v>
      </c>
      <c r="C11" s="74" t="s">
        <v>23</v>
      </c>
      <c r="D11" s="75">
        <f>=G11/F11</f>
        <v>0.513513513513514</v>
      </c>
      <c r="E11" s="64">
        <f>=SUMIF(团建记录表!C2:C399,C11,团建记录表!G2:G399)</f>
        <v>-389.126</v>
      </c>
      <c r="F11" s="15">
        <f>=COUNTIF(团建记录表!C2:C396,C11)</f>
        <v>37</v>
      </c>
      <c r="G11" s="15">
        <f>=COUNTIFS(团建记录表!C2:C396,C11,团建记录表!E2:E396,"=水上")</f>
        <v>19</v>
      </c>
      <c r="H11" s="15">
        <f>=COUNTIFS(团建记录表!C2:C396,C11,团建记录表!E2:E396,"=水下")</f>
        <v>18</v>
      </c>
      <c r="I11" s="29">
        <f>=COUNTIFS(团建记录表!C2:C396,C11,团建记录表!E2:E396,"=水平")</f>
        <v>0</v>
      </c>
    </row>
    <row r="12" spans="1:9">
      <c r="A12" s="17">
        <v>13</v>
      </c>
      <c r="B12" s="17">
        <v>11</v>
      </c>
      <c r="C12" s="69" t="s">
        <v>17</v>
      </c>
      <c r="D12" s="70">
        <f>=G12/F12</f>
        <v>0.615384615384616</v>
      </c>
      <c r="E12" s="64">
        <f>=SUMIF(团建记录表!C2:C399,C12,团建记录表!G2:G399)</f>
        <v>-604.8615</v>
      </c>
      <c r="F12" s="15">
        <f>=COUNTIF(团建记录表!C2:C396,C12)</f>
        <v>13</v>
      </c>
      <c r="G12" s="15">
        <f>=COUNTIFS(团建记录表!C2:C396,C12,团建记录表!E2:E396,"=水上")</f>
        <v>8</v>
      </c>
      <c r="H12" s="15">
        <f>=COUNTIFS(团建记录表!C2:C396,C12,团建记录表!E2:E396,"=水下")</f>
        <v>4</v>
      </c>
      <c r="I12" s="26">
        <f>=COUNTIFS(团建记录表!C2:C396,C12,团建记录表!E2:E396,"=水平")</f>
        <v>1</v>
      </c>
    </row>
    <row r="13" spans="1:9">
      <c r="A13" s="17">
        <v>10</v>
      </c>
      <c r="B13" s="17">
        <v>12</v>
      </c>
      <c r="C13" s="76" t="s">
        <v>28</v>
      </c>
      <c r="D13" s="77">
        <f>=G13/F13</f>
        <v>0</v>
      </c>
      <c r="E13" s="64">
        <f>=SUMIF(团建记录表!C2:C400,C13,团建记录表!G2:G400)</f>
        <v>-620</v>
      </c>
      <c r="F13" s="15">
        <f>=COUNTIF(团建记录表!C2:C397,C13)</f>
        <v>1</v>
      </c>
      <c r="G13" s="15">
        <f>=COUNTIFS(团建记录表!C2:C397,C13,团建记录表!E2:E397,"=水上")</f>
        <v>0</v>
      </c>
      <c r="H13" s="15">
        <f>=COUNTIFS(团建记录表!C2:C397,C13,团建记录表!E2:E397,"=水下")</f>
        <v>1</v>
      </c>
      <c r="I13" s="29">
        <f>=COUNTIFS(团建记录表!C2:C397,C13,团建记录表!E2:E397,"=水平")</f>
        <v>0</v>
      </c>
    </row>
    <row r="14" spans="1:9">
      <c r="A14" s="17">
        <v>12</v>
      </c>
      <c r="B14" s="17">
        <v>13</v>
      </c>
      <c r="C14" s="78" t="s">
        <v>27</v>
      </c>
      <c r="D14" s="75">
        <f>=G14/F14</f>
        <v>0</v>
      </c>
      <c r="E14" s="64">
        <f>=SUMIF(团建记录表!C39:C400,C14,团建记录表!G39:G400)</f>
        <v>-1400</v>
      </c>
      <c r="F14" s="15">
        <f>=COUNTIF(团建记录表!C39:C397,C14)</f>
        <v>1</v>
      </c>
      <c r="G14" s="15">
        <f>=COUNTIFS(团建记录表!C39:C397,C14,团建记录表!E39:E397,"=水上")</f>
        <v>0</v>
      </c>
      <c r="H14" s="15">
        <f>=COUNTIFS(团建记录表!C39:C397,C14,团建记录表!E39:E397,"=水下")</f>
        <v>1</v>
      </c>
      <c r="I14" s="29">
        <f>=COUNTIFS(团建记录表!C39:C397,C14,团建记录表!E39:E397,"=水平")</f>
        <v>0</v>
      </c>
    </row>
    <row r="15" spans="1:9">
      <c r="A15" s="17">
        <v>14</v>
      </c>
      <c r="B15" s="17">
        <v>14</v>
      </c>
      <c r="C15" s="74" t="s">
        <v>24</v>
      </c>
      <c r="D15" s="75">
        <f>=G15/F15</f>
        <v>0.454545454545455</v>
      </c>
      <c r="E15" s="64">
        <f>=SUMIF(团建记录表!C2:C400,C15,团建记录表!G2:G400)</f>
        <v>-2471.392</v>
      </c>
      <c r="F15" s="15">
        <f>=COUNTIF(团建记录表!C2:C397,C15)</f>
        <v>11</v>
      </c>
      <c r="G15" s="79">
        <f>=COUNTIFS(团建记录表!C2:C397,C15,团建记录表!E2:E397,"=水上")</f>
        <v>5</v>
      </c>
      <c r="H15" s="15">
        <f>=COUNTIFS(团建记录表!C2:C397,C15,团建记录表!E2:E397,"=水下")</f>
        <v>6</v>
      </c>
      <c r="I15" s="29">
        <f>=COUNTIFS(团建记录表!C2:C397,C15,团建记录表!E2:E397,"=水平")</f>
        <v>0</v>
      </c>
    </row>
    <row r="16" spans="1:9">
      <c r="A16" s="17">
        <v>16</v>
      </c>
      <c r="B16" s="17">
        <v>15</v>
      </c>
      <c r="C16" s="80" t="s">
        <v>22</v>
      </c>
      <c r="D16" s="81">
        <f>=G16/F16</f>
        <v>0.444444444444445</v>
      </c>
      <c r="E16" s="64">
        <f>=SUMIF(团建记录表!C2:C399,C16,团建记录表!G2:G399)</f>
        <v>-3636.084</v>
      </c>
      <c r="F16" s="15">
        <f>=COUNTIF(团建记录表!C2:C396,C16)</f>
        <v>45</v>
      </c>
      <c r="G16" s="15">
        <f>=COUNTIFS(团建记录表!C2:C396,C16,团建记录表!E2:E396,"=水上")</f>
        <v>20</v>
      </c>
      <c r="H16" s="15">
        <f>=COUNTIFS(团建记录表!C2:C396,C16,团建记录表!E2:E396,"=水下")</f>
        <v>24</v>
      </c>
      <c r="I16" s="15">
        <f>=COUNTIFS(团建记录表!C2:C396,C16,团建记录表!E2:E396,"=水平")</f>
        <v>1</v>
      </c>
    </row>
    <row r="17" spans="1:9">
      <c r="A17" s="17">
        <v>17</v>
      </c>
      <c r="B17" s="17">
        <v>16</v>
      </c>
      <c r="C17" s="74" t="s">
        <v>19</v>
      </c>
      <c r="D17" s="82">
        <f>=G17/F17</f>
        <v>0.32258064516129</v>
      </c>
      <c r="E17" s="83">
        <f>=SUMIF(团建记录表!C2:C399,C17,团建记录表!G2:G399)</f>
        <v>-4104.44</v>
      </c>
      <c r="F17" s="84">
        <f>=COUNTIF(团建记录表!C2:C396,C17)</f>
        <v>31</v>
      </c>
      <c r="G17" s="84">
        <f>=COUNTIFS(团建记录表!C2:C396,C17,团建记录表!E2:E396,"=水上")</f>
        <v>10</v>
      </c>
      <c r="H17" s="84">
        <f>=COUNTIFS(团建记录表!C2:C396,C17,团建记录表!E2:E396,"=水下")</f>
        <v>21</v>
      </c>
      <c r="I17" s="85">
        <f>=COUNTIFS(团建记录表!C2:C396,C17,团建记录表!E2:E396,"=水平")</f>
        <v>0</v>
      </c>
    </row>
    <row r="18" spans="1:9">
      <c r="A18" s="17">
        <v>15</v>
      </c>
      <c r="B18" s="17">
        <v>17</v>
      </c>
      <c r="C18" s="86" t="s">
        <v>15</v>
      </c>
      <c r="D18" s="87">
        <f>=G18/F18</f>
        <v>0.45</v>
      </c>
      <c r="E18" s="16">
        <f>=SUMIF(团建记录表!C2:C399,C18,团建记录表!G2:G399)</f>
        <v>-5168.162</v>
      </c>
      <c r="F18" s="88">
        <f>=COUNTIF(团建记录表!C2:C396,C18)</f>
        <v>20</v>
      </c>
      <c r="G18" s="15">
        <f>=COUNTIFS(团建记录表!C2:C396,C18,团建记录表!E2:E396,"=水上")</f>
        <v>9</v>
      </c>
      <c r="H18" s="88">
        <f>=COUNTIFS(团建记录表!C2:C396,C18,团建记录表!E2:E396,"=水下")</f>
        <v>10</v>
      </c>
      <c r="I18" s="88">
        <f>=COUNTIFS(团建记录表!C2:C396,C18,团建记录表!E2:E396,"=水平")</f>
        <v>1</v>
      </c>
    </row>
    <row r="19" spans="1:9">
      <c r="A19" s="17">
        <v>18</v>
      </c>
      <c r="B19" s="17">
        <v>18</v>
      </c>
      <c r="C19" s="89" t="s">
        <v>14</v>
      </c>
      <c r="D19" s="90">
        <f>=G19/F19</f>
        <v>0.375</v>
      </c>
      <c r="E19" s="16">
        <f>=SUMIF(团建记录表!C2:C399,C19,团建记录表!G2:G399)</f>
        <v>-8970.406</v>
      </c>
      <c r="F19" s="15">
        <f>=COUNTIF(团建记录表!C2:C396,C19)</f>
        <v>24</v>
      </c>
      <c r="G19" s="15">
        <f>=COUNTIFS(团建记录表!C2:C396,C19,团建记录表!E2:E396,"=水上")</f>
        <v>9</v>
      </c>
      <c r="H19" s="15">
        <f>=COUNTIFS(团建记录表!C2:C396,C19,团建记录表!E2:E396,"=水下")</f>
        <v>15</v>
      </c>
      <c r="I19" s="26">
        <f>=COUNTIFS(团建记录表!C2:C396,C19,团建记录表!E2:E396,"=水平")</f>
        <v>0</v>
      </c>
    </row>
    <row r="20" spans="1:9">
      <c r="A20" s="17">
        <v>19</v>
      </c>
      <c r="B20" s="17">
        <v>19</v>
      </c>
      <c r="C20" s="91" t="s">
        <v>20</v>
      </c>
      <c r="D20" s="90">
        <f>=G20/F20</f>
        <v>0.545454545454546</v>
      </c>
      <c r="E20" s="16">
        <f>=SUMIF(团建记录表!C2:C399,C20,团建记录表!G2:G399)</f>
        <v>-9518.909</v>
      </c>
      <c r="F20" s="15">
        <f>=COUNTIF(团建记录表!C2:C396,C20)</f>
        <v>22</v>
      </c>
      <c r="G20" s="15">
        <f>=COUNTIFS(团建记录表!C2:C396,C20,团建记录表!E2:E396,"=水上")</f>
        <v>12</v>
      </c>
      <c r="H20" s="15">
        <f>=COUNTIFS(团建记录表!C2:C396,C20,团建记录表!E2:E396,"=水下")</f>
        <v>10</v>
      </c>
      <c r="I20" s="29">
        <f>=COUNTIFS(团建记录表!C2:C396,C20,团建记录表!E2:E396,"=水平")</f>
        <v>0</v>
      </c>
    </row>
    <row r="21" spans="5:9">
      <c r="E21" s="92" t="s"/>
      <c r="F21" s="93" t="s"/>
      <c r="G21" s="94" t="s"/>
      <c r="H21" s="93" t="s"/>
      <c r="I21" s="93" t="s"/>
    </row>
  </sheetData>
  <dataValidations>
    <dataValidation type="list" errorStyle="stop" allowBlank="true" showDropDown="false" showInputMessage="true" showErrorMessage="true" prompt="" sqref="G21">
      <formula1>"水上,水下,水平,未参与,"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2025-03-31T16:50:36Z</dcterms:created>
  <dcterms:modified xsi:type="dcterms:W3CDTF">2025-03-31T16:50:36Z</dcterms:modified>
</cp:coreProperties>
</file>